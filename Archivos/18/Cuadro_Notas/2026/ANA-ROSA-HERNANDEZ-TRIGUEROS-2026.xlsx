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.º-A Aritmetica" sheetId="1" r:id="rId4"/>
    <sheet name="4.º-A Comunicac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<sst xmlns="http://schemas.openxmlformats.org/spreadsheetml/2006/main" uniqueCount="119">
  <si>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CONTROL DE ACTIVIDADES</t>
  </si>
  <si>
    <t>Nombre del Docente:</t>
  </si>
  <si>
    <t>ANA ROSA HERNÁNDEZ TRIGUEROS</t>
  </si>
  <si>
    <t>Modalidad</t>
  </si>
  <si>
    <t>Educación Básica - Ciclo II - PL2025</t>
  </si>
  <si>
    <t>Año Lectivo</t>
  </si>
  <si>
    <t>MEDIA</t>
  </si>
  <si>
    <t>Grado</t>
  </si>
  <si>
    <t>Cuarto</t>
  </si>
  <si>
    <t>Sección</t>
  </si>
  <si>
    <t>A</t>
  </si>
  <si>
    <t>Asignatura</t>
  </si>
  <si>
    <t>Aritmetica y Finanzas</t>
  </si>
  <si>
    <t>P E R I O D O</t>
  </si>
  <si>
    <t>RESULTADOS FINALES</t>
  </si>
  <si>
    <t>PORCENTAJE Y NOMBRE DE LAS ACTIVIDADES</t>
  </si>
  <si>
    <t>ACTIVIDADES INTEGRADORAS</t>
  </si>
  <si>
    <t>ACTIVIDADES COTIDIANAS</t>
  </si>
  <si>
    <t>1 O MAS PRUEBAS</t>
  </si>
  <si>
    <t>RECUPER.</t>
  </si>
  <si>
    <t>PROM.</t>
  </si>
  <si>
    <t>PORCENTAJES</t>
  </si>
  <si>
    <t>Nº</t>
  </si>
  <si>
    <t>NIE</t>
  </si>
  <si>
    <t>Código Interno</t>
  </si>
  <si>
    <t>Código Matricula</t>
  </si>
  <si>
    <t>Nómina de Alumnos</t>
  </si>
  <si>
    <t>Género</t>
  </si>
  <si>
    <t>Ponderación 35%</t>
  </si>
  <si>
    <t>Ponderación 30%</t>
  </si>
  <si>
    <t>Recuperacion</t>
  </si>
  <si>
    <t>PROMEDIO</t>
  </si>
  <si>
    <t>PROMEDIO 3 PERIODOS</t>
  </si>
  <si>
    <t>NOTA FINAL DE RECUPERACION</t>
  </si>
  <si>
    <t>NOTA FINAL</t>
  </si>
  <si>
    <t>RESULTADO</t>
  </si>
  <si>
    <t>ACOSTA CASTELLANOS, DAYANA MICHELLE</t>
  </si>
  <si>
    <t>F</t>
  </si>
  <si>
    <t>AREVALO POLANCO, JOSÉ DANIEL</t>
  </si>
  <si>
    <t>M</t>
  </si>
  <si>
    <t>ASCENCIO MENDOZA, EMMANUEL ALEXANDER</t>
  </si>
  <si>
    <t>ÁVALOS MURCIA, PAUL ROBERTO</t>
  </si>
  <si>
    <t>BERMUDES BONILLA, VICTORIA ISABELLA</t>
  </si>
  <si>
    <t>BRUNO MARTÍNEZ, KAYLEE BELEN</t>
  </si>
  <si>
    <t>CALDERON DE PAZ, KEILY ARLENNE</t>
  </si>
  <si>
    <t>CASTANEDA VELÁSQUEZ, VALERIA MONSERRAT</t>
  </si>
  <si>
    <t>CASTILLO GARCÍA, MICHAEL MAURICIO</t>
  </si>
  <si>
    <t>CEA RODRÍGUEZ, JOAQUIN ALESSANDRO</t>
  </si>
  <si>
    <t>CENTENO GARCIA, LUIS MARIO</t>
  </si>
  <si>
    <t>CRESPO RIVAS, WILBER ALEXANDER</t>
  </si>
  <si>
    <t>DIAZ VASQUEZ, ELSA SARAI</t>
  </si>
  <si>
    <t>ESCOBAR HERNANDEZ, MICHAEL OSWALDO</t>
  </si>
  <si>
    <t>ESCOBAR RODRÍGUEZ, NUVIA NAYELI</t>
  </si>
  <si>
    <t>FLORES ERAZO, ABIGAIL MARIFER</t>
  </si>
  <si>
    <t>FLORES LINARES, ELEAZAR VLADIMIR</t>
  </si>
  <si>
    <t>FUENTES HERNÁNDEZ, ASHLEY FABIOLA</t>
  </si>
  <si>
    <t>GARCÍA AGUILAR, CARLOS EDUARDO</t>
  </si>
  <si>
    <t>GODOY REGALADO, JUAN MANUEL</t>
  </si>
  <si>
    <t>GÓMEZ CATALÁN, MARJORIE NICOLE</t>
  </si>
  <si>
    <t>GÓMEZ MARTÍNEZ, JONATHAN ALESSANDRO</t>
  </si>
  <si>
    <t>GONZÁLEZ HERNÁNDEZ, EDUARDO MATEO</t>
  </si>
  <si>
    <t>GUEVARA MEDRANO, VALERIA ALEJANDRA</t>
  </si>
  <si>
    <t>HENRIQUEZ PALMA, NATANAEL ADEMIR</t>
  </si>
  <si>
    <t>HERNANDEZ CERNA, STANLEY ADIEL</t>
  </si>
  <si>
    <t>HERNÁNDEZ ORTÍZ, HAZEL ANGELI</t>
  </si>
  <si>
    <t>JACOBO CANJURA, JOSEPH ALEXANDER</t>
  </si>
  <si>
    <t>LAÍNEZ TEJADA, FABIOLA NICOLE</t>
  </si>
  <si>
    <t>LEIVA LANDAVERDE, ERICK STEVEN</t>
  </si>
  <si>
    <t>LINARES MARTÍNEZ, JEREMY SANTIAGO</t>
  </si>
  <si>
    <t>LINARES MARTÍNEZ, MELVIN DOMINICK</t>
  </si>
  <si>
    <t>LÓPEZ MANCÍA, GERSON ALESSANDRO</t>
  </si>
  <si>
    <t>LÓPEZ SOLORZANO, GENESIS CAMILA</t>
  </si>
  <si>
    <t>LUNA FAJARDO, VALERIA NICOLE</t>
  </si>
  <si>
    <t>MACHADO LEON, ANDERSON YARIEL</t>
  </si>
  <si>
    <t>MANCIA SANTOS, RODRIGO ERNESTO</t>
  </si>
  <si>
    <t>MANZANARES AYALA, MELISSA ABIGAIL</t>
  </si>
  <si>
    <t>MARTINEZ GARCIA, MATEO ISAAC</t>
  </si>
  <si>
    <t>MARTÍNEZ MARTÍNEZ, RENÉ DAVID</t>
  </si>
  <si>
    <t>MARTINEZ ORTEGA, KATIA MICHELLE</t>
  </si>
  <si>
    <t>MARTÍNEZ SARAVIA, LISANDRO EMMANUEL</t>
  </si>
  <si>
    <t>MAZARIEGO PAREDES, SANTIAGO ALEXANDER</t>
  </si>
  <si>
    <t>MEJIA MINA, VALERIA LISSETT</t>
  </si>
  <si>
    <t>MENA MUÑOZ, JOSÉ ÁNGEL</t>
  </si>
  <si>
    <t>MÉNDEZ GARCÍA, GISELL DAYANA</t>
  </si>
  <si>
    <t>MENDOZA GÓMEZ, LUIS ENRIQUE</t>
  </si>
  <si>
    <t>MENJIVAR FLORES, BRITTANY VALERIA</t>
  </si>
  <si>
    <t>MEZQUITA ESQUIVEL, ANDERSON OSWALDO</t>
  </si>
  <si>
    <t>MONTANO HERRARTE, ALVARO GABRIEL</t>
  </si>
  <si>
    <t>MORÁN DIAZ, ADRIANA LUCELLY</t>
  </si>
  <si>
    <t>OLMEDO GARCÍA, FATIMA ARELY</t>
  </si>
  <si>
    <t>PASCUAL CUELLAR, ESTELA SARAI</t>
  </si>
  <si>
    <t>PÉREZ MARTEL, VALERIA ALEXANDRA</t>
  </si>
  <si>
    <t>POLANCO CARRANZA, KIMBERLY NICOLLE</t>
  </si>
  <si>
    <t>RAMIREZ HENRIQUEZ, BRITTANY GISELL</t>
  </si>
  <si>
    <t>RAMIREZ LANDAVERDE, JOHANNA GUADALUPE</t>
  </si>
  <si>
    <t>RAMÍREZ PEÑA, JEFERSON ELIECER</t>
  </si>
  <si>
    <t>RAMIREZ RIVERA, ADALBERTO DE JESUS</t>
  </si>
  <si>
    <t>RAMOS GONZALEZ, KEVIN ALFREDO</t>
  </si>
  <si>
    <t>RAYMUNDO DURÁN, ADRIAN ALEJANDRO</t>
  </si>
  <si>
    <t>RETANA FLORES, PAUL SANTIAGO</t>
  </si>
  <si>
    <t>REYES ALBEÑO, DANIEL HUMBERTO</t>
  </si>
  <si>
    <t>REYES SANCHEZ, ALEXIA CAMILA</t>
  </si>
  <si>
    <t>RODRIGUEZ FLORES, VALERIA ABIGAIL</t>
  </si>
  <si>
    <t>RODRÍGUEZ FRANCO, EMELY ARIANA</t>
  </si>
  <si>
    <t>ROMERO ERAZO, DANIEL EDUARDO</t>
  </si>
  <si>
    <t>RUIZ LÓPEZ, GENESIS SCARLETT</t>
  </si>
  <si>
    <t>SAGASTUME MENÉNDEZ, JOSUÉ ABRAHAM</t>
  </si>
  <si>
    <t>SALAZAR SAMAYOA, EDUARDO ANTONIO</t>
  </si>
  <si>
    <t>'53'</t>
  </si>
  <si>
    <t>'18'</t>
  </si>
  <si>
    <t>'26'</t>
  </si>
  <si>
    <t>'04'</t>
  </si>
  <si>
    <t>'01'</t>
  </si>
  <si>
    <t>'905'</t>
  </si>
  <si>
    <t>SALINAS GIRÓN, EMILIA SOFÍA</t>
  </si>
  <si>
    <t>SANABRIA GONZALEZ, JOSÉ EDUARDO</t>
  </si>
  <si>
    <t>VÁSQUEZ HUEZO, LUZ ESMERALDA</t>
  </si>
  <si>
    <t>Comunicacion y Literatura</t>
  </si>
  <si>
    <t>'906'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</si>
</sst>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FF0000"/>
      <name val="Arial"/>
    </font>
    <font>
      <b val="0"/>
      <i val="0"/>
      <strike val="0"/>
      <u val="none"/>
      <sz val="10"/>
      <color rgb="FFFF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FF"/>
      <name val="Arial"/>
    </font>
    <font>
      <b val="0"/>
      <i val="0"/>
      <strike val="0"/>
      <u val="none"/>
      <sz val="12"/>
      <color rgb="FF0000FF"/>
      <name val="Arial"/>
    </font>
    <font>
      <b val="1"/>
      <i val="0"/>
      <strike val="0"/>
      <u val="none"/>
      <sz val="10"/>
      <color rgb="FFFF0000"/>
      <name val="Arial"/>
    </font>
    <font>
      <b val="1"/>
      <i val="0"/>
      <strike val="0"/>
      <u val="none"/>
      <sz val="14"/>
      <color rgb="FFFFFFFF"/>
      <name val="Arial"/>
    </font>
    <font>
      <b val="0"/>
      <i val="0"/>
      <strike val="0"/>
      <u val="none"/>
      <sz val="12"/>
      <color rgb="FF000000"/>
      <name val="Arial Black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18"/>
      <color rgb="FFFF0000"/>
      <name val="Arial"/>
    </font>
    <font>
      <b val="1"/>
      <i val="0"/>
      <strike val="0"/>
      <u val="none"/>
      <sz val="14"/>
      <color rgb="FFFF0000"/>
      <name val="Arial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FF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E2EEDA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969696"/>
        <bgColor rgb="FF00000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4472C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548135"/>
      </left>
      <right style="thin">
        <color rgb="FF000000"/>
      </right>
      <top style="thick">
        <color rgb="FF54813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548135"/>
      </top>
      <bottom style="thin">
        <color rgb="FF000000"/>
      </bottom>
    </border>
    <border>
      <left style="thin">
        <color rgb="FF000000"/>
      </left>
      <right style="thick">
        <color rgb="FF548135"/>
      </right>
      <top style="thick">
        <color rgb="FF548135"/>
      </top>
      <bottom style="thin">
        <color rgb="FF000000"/>
      </bottom>
    </border>
    <border>
      <left style="thick">
        <color rgb="FF54813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548135"/>
      </right>
      <top style="thin">
        <color rgb="FF000000"/>
      </top>
      <bottom style="thin">
        <color rgb="FF000000"/>
      </bottom>
    </border>
    <border>
      <left style="thick">
        <color rgb="FF548135"/>
      </left>
      <right style="thin">
        <color rgb="FF000000"/>
      </right>
      <top style="thin">
        <color rgb="FF000000"/>
      </top>
      <bottom style="thick">
        <color rgb="FF54813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548135"/>
      </bottom>
    </border>
    <border>
      <left style="thin">
        <color rgb="FF000000"/>
      </left>
      <right style="thick">
        <color rgb="FF548135"/>
      </right>
      <top style="thin">
        <color rgb="FF000000"/>
      </top>
      <bottom style="thick">
        <color rgb="FF548135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0">
    <xf xfId="0" fontId="0" numFmtId="0" fillId="0" borderId="0" applyFont="0" applyNumberFormat="0" applyFill="0" applyBorder="0" applyAlignment="0">
      <alignment textRotation="0" wrapText="false" shrinkToFit="false"/>
    </xf>
    <xf xfId="0" fontId="1" numFmtId="0" fillId="0" borderId="0" applyFont="1" applyNumberFormat="0" applyFill="0" applyBorder="0" applyAlignment="0">
      <alignment textRotation="0" wrapText="false" shrinkToFit="false"/>
    </xf>
    <xf xfId="0" fontId="0" numFmtId="0" fillId="0" borderId="1" applyFont="0" applyNumberFormat="0" applyFill="0" applyBorder="1" applyAlignment="0">
      <alignment textRotation="0" wrapText="false" shrinkToFit="false"/>
    </xf>
    <xf xfId="0" fontId="0" numFmtId="0" fillId="2" borderId="1" applyFont="0" applyNumberFormat="0" applyFill="1" applyBorder="1" applyAlignment="0">
      <alignment textRotation="0" wrapText="false" shrinkToFit="false"/>
    </xf>
    <xf xfId="0" fontId="2" numFmtId="0" fillId="0" borderId="0" applyFont="1" applyNumberFormat="0" applyFill="0" applyBorder="0" applyAlignment="0">
      <alignment textRotation="0" wrapText="false" shrinkToFit="false"/>
    </xf>
    <xf xfId="0" fontId="2" numFmtId="0" fillId="2" borderId="1" applyFont="1" applyNumberFormat="0" applyFill="1" applyBorder="1" applyAlignment="0">
      <alignment textRotation="0" wrapText="false" shrinkToFit="false"/>
    </xf>
    <xf xfId="0" fontId="3" numFmtId="0" fillId="3" borderId="1" applyFont="1" applyNumberFormat="0" applyFill="1" applyBorder="1" applyAlignment="0">
      <alignment textRotation="0" wrapText="false" shrinkToFit="false"/>
    </xf>
    <xf xfId="0" fontId="0" numFmtId="0" fillId="0" borderId="1" applyFont="0" applyNumberFormat="0" applyFill="0" applyBorder="1" applyAlignment="0" applyProtection="true">
      <alignment textRotation="0" wrapText="false" shrinkToFit="false"/>
      <protection locked="false"/>
    </xf>
    <xf xfId="0" fontId="4" numFmtId="9" fillId="0" borderId="1" applyFont="1" applyNumberFormat="1" applyFill="0" applyBorder="1" applyAlignment="0">
      <alignment textRotation="0" wrapText="false" shrinkToFit="false"/>
    </xf>
    <xf xfId="0" fontId="4" numFmtId="0" fillId="4" borderId="1" applyFont="1" applyNumberFormat="0" applyFill="1" applyBorder="1" applyAlignment="1">
      <alignment textRotation="90" wrapText="false" shrinkToFit="false"/>
    </xf>
    <xf xfId="0" fontId="0" numFmtId="9" fillId="0" borderId="2" applyFont="0" applyNumberFormat="1" applyFill="0" applyBorder="1" applyAlignment="0" applyProtection="true">
      <alignment textRotation="0" wrapText="false" shrinkToFit="false"/>
      <protection locked="false"/>
    </xf>
    <xf xfId="0" fontId="0" numFmtId="9" fillId="0" borderId="1" applyFont="0" applyNumberFormat="1" applyFill="0" applyBorder="1" applyAlignment="0" applyProtection="true">
      <alignment textRotation="0" wrapText="false" shrinkToFit="false"/>
      <protection locked="false"/>
    </xf>
    <xf xfId="0" fontId="0" numFmtId="0" fillId="2" borderId="1" applyFont="0" applyNumberFormat="0" applyFill="1" applyBorder="1" applyAlignment="0" applyProtection="true">
      <alignment textRotation="0" wrapText="false" shrinkToFit="false"/>
      <protection locked="false"/>
    </xf>
    <xf xfId="0" fontId="4" numFmtId="0" fillId="5" borderId="1" applyFont="1" applyNumberFormat="0" applyFill="1" applyBorder="1" applyAlignment="0">
      <alignment textRotation="0" wrapText="false" shrinkToFit="false"/>
    </xf>
    <xf xfId="0" fontId="4" numFmtId="0" fillId="6" borderId="3" applyFont="1" applyNumberFormat="0" applyFill="1" applyBorder="1" applyAlignment="1">
      <alignment horizontal="center" textRotation="0" wrapText="false" shrinkToFit="false"/>
    </xf>
    <xf xfId="0" fontId="4" numFmtId="0" fillId="4" borderId="1" applyFont="1" applyNumberFormat="0" applyFill="1" applyBorder="1" applyAlignment="1">
      <alignment horizontal="center" textRotation="90" wrapText="true" shrinkToFit="false"/>
    </xf>
    <xf xfId="0" fontId="1" numFmtId="0" fillId="2" borderId="1" applyFont="1" applyNumberFormat="0" applyFill="1" applyBorder="1" applyAlignment="1">
      <alignment horizontal="center" textRotation="0" wrapText="false" shrinkToFit="false"/>
    </xf>
    <xf xfId="0" fontId="1" numFmtId="0" fillId="0" borderId="1" applyFont="1" applyNumberFormat="0" applyFill="0" applyBorder="1" applyAlignment="1">
      <alignment horizontal="center" textRotation="0" wrapText="false" shrinkToFit="false"/>
    </xf>
    <xf xfId="0" fontId="5" numFmtId="0" fillId="0" borderId="1" applyFont="1" applyNumberFormat="0" applyFill="0" applyBorder="1" applyAlignment="1" applyProtection="true">
      <alignment horizontal="center" textRotation="0" wrapText="false" shrinkToFit="false"/>
      <protection locked="false"/>
    </xf>
    <xf xfId="0" fontId="5" numFmtId="0" fillId="2" borderId="1" applyFont="1" applyNumberFormat="0" applyFill="1" applyBorder="1" applyAlignment="1" applyProtection="true">
      <alignment horizontal="center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textRotation="0" wrapText="false" shrinkToFit="false"/>
      <protection locked="false"/>
    </xf>
    <xf xfId="0" fontId="6" numFmtId="0" fillId="2" borderId="1" applyFont="1" applyNumberFormat="0" applyFill="1" applyBorder="1" applyAlignment="1" applyProtection="true">
      <alignment horizontal="center" textRotation="0" wrapText="false" shrinkToFit="false"/>
      <protection locked="false"/>
    </xf>
    <xf xfId="0" fontId="0" numFmtId="0" fillId="4" borderId="1" applyFont="0" applyNumberFormat="0" applyFill="1" applyBorder="1" applyAlignment="1" applyProtection="true">
      <alignment textRotation="90" wrapText="true" shrinkToFit="false"/>
      <protection locked="false"/>
    </xf>
    <xf xfId="0" fontId="7" numFmtId="0" fillId="7" borderId="1" applyFont="1" applyNumberFormat="0" applyFill="1" applyBorder="1" applyAlignment="1">
      <alignment horizontal="center" textRotation="0" wrapText="false" shrinkToFit="false"/>
    </xf>
    <xf xfId="0" fontId="8" numFmtId="0" fillId="8" borderId="1" applyFont="1" applyNumberFormat="0" applyFill="1" applyBorder="1" applyAlignment="1">
      <alignment horizontal="center" vertical="center" textRotation="90" wrapText="false" shrinkToFit="false"/>
    </xf>
    <xf xfId="0" fontId="4" numFmtId="9" fillId="9" borderId="1" applyFont="1" applyNumberFormat="1" applyFill="1" applyBorder="1" applyAlignment="0">
      <alignment textRotation="0" wrapText="false" shrinkToFit="false"/>
    </xf>
    <xf xfId="0" fontId="4" numFmtId="0" fillId="9" borderId="1" applyFont="1" applyNumberFormat="0" applyFill="1" applyBorder="1" applyAlignment="1">
      <alignment textRotation="90" wrapText="false" shrinkToFit="false"/>
    </xf>
    <xf xfId="0" fontId="4" numFmtId="0" fillId="9" borderId="1" applyFont="1" applyNumberFormat="0" applyFill="1" applyBorder="1" applyAlignment="1">
      <alignment textRotation="90" wrapText="true" shrinkToFit="false"/>
    </xf>
    <xf xfId="0" fontId="9" numFmtId="0" fillId="0" borderId="4" applyFont="1" applyNumberFormat="0" applyFill="0" applyBorder="1" applyAlignment="1">
      <alignment horizontal="center" textRotation="0" wrapText="false" shrinkToFit="false"/>
    </xf>
    <xf xfId="0" fontId="7" numFmtId="0" fillId="10" borderId="1" applyFont="1" applyNumberFormat="0" applyFill="1" applyBorder="1" applyAlignment="1">
      <alignment horizontal="center" textRotation="0" wrapText="false" shrinkToFit="false"/>
    </xf>
    <xf xfId="0" fontId="0" numFmtId="0" fillId="4" borderId="2" applyFont="0" applyNumberFormat="0" applyFill="1" applyBorder="1" applyAlignment="1" applyProtection="true">
      <alignment textRotation="90" wrapText="true" shrinkToFit="false"/>
      <protection locked="false"/>
    </xf>
    <xf xfId="0" fontId="0" numFmtId="0" fillId="0" borderId="2" applyFont="0" applyNumberFormat="0" applyFill="0" applyBorder="1" applyAlignment="0" applyProtection="true">
      <alignment textRotation="0" wrapText="false" shrinkToFit="false"/>
      <protection locked="false"/>
    </xf>
    <xf xfId="0" fontId="0" numFmtId="0" fillId="2" borderId="2" applyFont="0" applyNumberFormat="0" applyFill="1" applyBorder="1" applyAlignment="0" applyProtection="true">
      <alignment textRotation="0" wrapText="false" shrinkToFit="false"/>
      <protection locked="false"/>
    </xf>
    <xf xfId="0" fontId="0" numFmtId="0" fillId="0" borderId="5" applyFont="0" applyNumberFormat="0" applyFill="0" applyBorder="1" applyAlignment="0">
      <alignment textRotation="0" wrapText="false" shrinkToFit="false"/>
    </xf>
    <xf xfId="0" fontId="4" numFmtId="0" fillId="0" borderId="6" applyFont="1" applyNumberFormat="0" applyFill="0" applyBorder="1" applyAlignment="1">
      <alignment horizontal="right" textRotation="0" wrapText="false" shrinkToFit="false"/>
    </xf>
    <xf xfId="0" fontId="4" numFmtId="0" fillId="11" borderId="7" applyFont="1" applyNumberFormat="0" applyFill="1" applyBorder="1" applyAlignment="1">
      <alignment horizontal="center" vertical="center" textRotation="90" wrapText="true" shrinkToFit="false"/>
    </xf>
    <xf xfId="0" fontId="4" numFmtId="0" fillId="11" borderId="8" applyFont="1" applyNumberFormat="0" applyFill="1" applyBorder="1" applyAlignment="1">
      <alignment horizontal="center" vertical="center" textRotation="90" wrapText="true" shrinkToFit="false"/>
    </xf>
    <xf xfId="0" fontId="10" numFmtId="0" fillId="11" borderId="8" applyFont="1" applyNumberFormat="0" applyFill="1" applyBorder="1" applyAlignment="1">
      <alignment horizontal="center" vertical="center" textRotation="0" wrapText="false" shrinkToFit="false"/>
    </xf>
    <xf xfId="0" fontId="4" numFmtId="0" fillId="11" borderId="9" applyFont="1" applyNumberFormat="0" applyFill="1" applyBorder="1" applyAlignment="1">
      <alignment horizontal="center" vertical="center" textRotation="90" wrapText="false" shrinkToFit="false"/>
    </xf>
    <xf xfId="0" fontId="0" numFmtId="0" fillId="0" borderId="10" applyFont="0" applyNumberFormat="0" applyFill="0" applyBorder="1" applyAlignment="0">
      <alignment textRotation="0" wrapText="false" shrinkToFit="false"/>
    </xf>
    <xf xfId="0" fontId="0" numFmtId="0" fillId="0" borderId="11" applyFont="0" applyNumberFormat="0" applyFill="0" applyBorder="1" applyAlignment="0">
      <alignment textRotation="0" wrapText="false" shrinkToFit="false"/>
    </xf>
    <xf xfId="0" fontId="0" numFmtId="0" fillId="2" borderId="10" applyFont="0" applyNumberFormat="0" applyFill="1" applyBorder="1" applyAlignment="0">
      <alignment textRotation="0" wrapText="false" shrinkToFit="false"/>
    </xf>
    <xf xfId="0" fontId="0" numFmtId="0" fillId="2" borderId="11" applyFont="0" applyNumberFormat="0" applyFill="1" applyBorder="1" applyAlignment="0">
      <alignment textRotation="0" wrapText="false" shrinkToFit="false"/>
    </xf>
    <xf xfId="0" fontId="0" numFmtId="0" fillId="2" borderId="12" applyFont="0" applyNumberFormat="0" applyFill="1" applyBorder="1" applyAlignment="0">
      <alignment textRotation="0" wrapText="false" shrinkToFit="false"/>
    </xf>
    <xf xfId="0" fontId="0" numFmtId="0" fillId="2" borderId="13" applyFont="0" applyNumberFormat="0" applyFill="1" applyBorder="1" applyAlignment="0">
      <alignment textRotation="0" wrapText="false" shrinkToFit="false"/>
    </xf>
    <xf xfId="0" fontId="0" numFmtId="0" fillId="2" borderId="14" applyFont="0" applyNumberFormat="0" applyFill="1" applyBorder="1" applyAlignment="0">
      <alignment textRotation="0" wrapText="false" shrinkToFit="false"/>
    </xf>
    <xf xfId="0" fontId="4" numFmtId="0" fillId="5" borderId="1" applyFont="1" applyNumberFormat="0" applyFill="1" applyBorder="1" applyAlignment="0">
      <alignment textRotation="0" wrapText="false" shrinkToFit="false"/>
    </xf>
    <xf xfId="0" fontId="9" numFmtId="0" fillId="0" borderId="4" applyFont="1" applyNumberFormat="0" applyFill="0" applyBorder="1" applyAlignment="1">
      <alignment horizontal="center" textRotation="0" wrapText="false" shrinkToFit="false"/>
    </xf>
    <xf xfId="0" fontId="4" numFmtId="0" fillId="0" borderId="15" applyFont="1" applyNumberFormat="0" applyFill="0" applyBorder="1" applyAlignment="1">
      <alignment horizontal="center" textRotation="0" wrapText="false" shrinkToFit="false"/>
    </xf>
    <xf xfId="0" fontId="4" numFmtId="0" fillId="0" borderId="0" applyFont="1" applyNumberFormat="0" applyFill="0" applyBorder="0" applyAlignment="1">
      <alignment horizontal="center" textRotation="0" wrapText="false" shrinkToFit="false"/>
    </xf>
    <xf xfId="0" fontId="2" numFmtId="0" fillId="12" borderId="0" applyFont="1" applyNumberFormat="0" applyFill="1" applyBorder="0" applyAlignment="1">
      <alignment horizontal="center" textRotation="0" wrapText="false" shrinkToFit="false"/>
    </xf>
    <xf xfId="0" fontId="7" numFmtId="0" fillId="7" borderId="16" applyFont="1" applyNumberFormat="0" applyFill="1" applyBorder="1" applyAlignment="1">
      <alignment horizontal="center" textRotation="0" wrapText="false" shrinkToFit="false"/>
    </xf>
    <xf xfId="0" fontId="7" numFmtId="0" fillId="7" borderId="17" applyFont="1" applyNumberFormat="0" applyFill="1" applyBorder="1" applyAlignment="1">
      <alignment horizontal="center" textRotation="0" wrapText="false" shrinkToFit="false"/>
    </xf>
    <xf xfId="0" fontId="7" numFmtId="0" fillId="7" borderId="2" applyFont="1" applyNumberFormat="0" applyFill="1" applyBorder="1" applyAlignment="1">
      <alignment horizontal="center" textRotation="0" wrapText="false" shrinkToFit="false"/>
    </xf>
    <xf xfId="0" fontId="11" numFmtId="0" fillId="13" borderId="18" applyFont="1" applyNumberFormat="0" applyFill="1" applyBorder="1" applyAlignment="1">
      <alignment horizontal="center" textRotation="0" wrapText="false" shrinkToFit="false"/>
    </xf>
    <xf xfId="0" fontId="11" numFmtId="0" fillId="13" borderId="17" applyFont="1" applyNumberFormat="0" applyFill="1" applyBorder="1" applyAlignment="1">
      <alignment horizontal="center" textRotation="0" wrapText="false" shrinkToFit="false"/>
    </xf>
    <xf xfId="0" fontId="11" numFmtId="0" fillId="13" borderId="2" applyFont="1" applyNumberFormat="0" applyFill="1" applyBorder="1" applyAlignment="1">
      <alignment horizontal="center" textRotation="0" wrapText="false" shrinkToFit="false"/>
    </xf>
    <xf xfId="0" fontId="2" numFmtId="0" fillId="7" borderId="16" applyFont="1" applyNumberFormat="0" applyFill="1" applyBorder="1" applyAlignment="1">
      <alignment horizontal="center" textRotation="0" wrapText="false" shrinkToFit="false"/>
    </xf>
    <xf xfId="0" fontId="2" numFmtId="0" fillId="7" borderId="17" applyFont="1" applyNumberFormat="0" applyFill="1" applyBorder="1" applyAlignment="1">
      <alignment horizontal="center" textRotation="0" wrapText="false" shrinkToFit="false"/>
    </xf>
    <xf xfId="0" fontId="2" numFmtId="0" fillId="7" borderId="2" applyFont="1" applyNumberFormat="0" applyFill="1" applyBorder="1" applyAlignment="1">
      <alignment horizontal="center" textRotation="0" wrapText="false" shrinkToFit="false"/>
    </xf>
    <xf xfId="0" fontId="12" numFmtId="0" fillId="14" borderId="16" applyFont="1" applyNumberFormat="0" applyFill="1" applyBorder="1" applyAlignment="1">
      <alignment horizontal="center" textRotation="0" wrapText="false" shrinkToFit="false"/>
    </xf>
    <xf xfId="0" fontId="12" numFmtId="0" fillId="14" borderId="17" applyFont="1" applyNumberFormat="0" applyFill="1" applyBorder="1" applyAlignment="1">
      <alignment horizontal="center" textRotation="0" wrapText="false" shrinkToFit="false"/>
    </xf>
    <xf xfId="0" fontId="12" numFmtId="0" fillId="14" borderId="2" applyFont="1" applyNumberFormat="0" applyFill="1" applyBorder="1" applyAlignment="1">
      <alignment horizontal="center" textRotation="0" wrapText="false" shrinkToFit="false"/>
    </xf>
    <xf xfId="0" fontId="11" numFmtId="0" fillId="13" borderId="16" applyFont="1" applyNumberFormat="0" applyFill="1" applyBorder="1" applyAlignment="1">
      <alignment horizontal="center" textRotation="0" wrapText="false" shrinkToFit="false"/>
    </xf>
    <xf xfId="0" fontId="13" numFmtId="0" fillId="15" borderId="19" applyFont="1" applyNumberFormat="0" applyFill="1" applyBorder="1" applyAlignment="1">
      <alignment horizontal="center" textRotation="0" wrapText="false" shrinkToFit="false"/>
    </xf>
    <xf xfId="0" fontId="14" numFmtId="0" fillId="14" borderId="20" applyFont="1" applyNumberFormat="0" applyFill="1" applyBorder="1" applyAlignment="1">
      <alignment horizontal="center" vertical="center" textRotation="0" wrapText="false" shrinkToFit="false"/>
    </xf>
    <xf xfId="0" fontId="14" numFmtId="0" fillId="14" borderId="21" applyFont="1" applyNumberFormat="0" applyFill="1" applyBorder="1" applyAlignment="1">
      <alignment horizontal="center" vertical="center" textRotation="0" wrapText="false" shrinkToFit="false"/>
    </xf>
    <xf xfId="0" fontId="14" numFmtId="0" fillId="14" borderId="22" applyFont="1" applyNumberFormat="0" applyFill="1" applyBorder="1" applyAlignment="1">
      <alignment horizontal="center" vertical="center" textRotation="0" wrapText="false" shrinkToFit="false"/>
    </xf>
    <xf xfId="0" fontId="14" numFmtId="0" fillId="14" borderId="23" applyFont="1" applyNumberFormat="0" applyFill="1" applyBorder="1" applyAlignment="1">
      <alignment horizontal="center" vertical="center" textRotation="0" wrapText="false" shrinkToFit="false"/>
    </xf>
    <xf xfId="0" fontId="14" numFmtId="0" fillId="14" borderId="0" applyFont="1" applyNumberFormat="0" applyFill="1" applyBorder="0" applyAlignment="1">
      <alignment horizontal="center" vertical="center" textRotation="0" wrapText="false" shrinkToFit="false"/>
    </xf>
    <xf xfId="0" fontId="14" numFmtId="0" fillId="14" borderId="24" applyFont="1" applyNumberFormat="0" applyFill="1" applyBorder="1" applyAlignment="1">
      <alignment horizontal="center" vertical="center" textRotation="0" wrapText="false" shrinkToFit="false"/>
    </xf>
    <xf xfId="0" fontId="14" numFmtId="0" fillId="14" borderId="18" applyFont="1" applyNumberFormat="0" applyFill="1" applyBorder="1" applyAlignment="1">
      <alignment horizontal="center" vertical="center" textRotation="0" wrapText="false" shrinkToFit="false"/>
    </xf>
    <xf xfId="0" fontId="14" numFmtId="0" fillId="14" borderId="25" applyFont="1" applyNumberFormat="0" applyFill="1" applyBorder="1" applyAlignment="1">
      <alignment horizontal="center" vertical="center" textRotation="0" wrapText="false" shrinkToFit="false"/>
    </xf>
    <xf xfId="0" fontId="14" numFmtId="0" fillId="14" borderId="26" applyFont="1" applyNumberFormat="0" applyFill="1" applyBorder="1" applyAlignment="1">
      <alignment horizontal="center" vertical="center" textRotation="0" wrapText="false" shrinkToFit="false"/>
    </xf>
    <xf xfId="0" fontId="2" numFmtId="0" fillId="10" borderId="16" applyFont="1" applyNumberFormat="0" applyFill="1" applyBorder="1" applyAlignment="1">
      <alignment horizontal="center" textRotation="0" wrapText="false" shrinkToFit="false"/>
    </xf>
    <xf xfId="0" fontId="2" numFmtId="0" fillId="10" borderId="17" applyFont="1" applyNumberFormat="0" applyFill="1" applyBorder="1" applyAlignment="1">
      <alignment horizontal="center" textRotation="0" wrapText="false" shrinkToFit="false"/>
    </xf>
    <xf xfId="0" fontId="2" numFmtId="0" fillId="10" borderId="2" applyFont="1" applyNumberFormat="0" applyFill="1" applyBorder="1" applyAlignment="1">
      <alignment horizontal="center" textRotation="0" wrapText="false" shrinkToFit="false"/>
    </xf>
    <xf xfId="0" fontId="7" numFmtId="0" fillId="10" borderId="16" applyFont="1" applyNumberFormat="0" applyFill="1" applyBorder="1" applyAlignment="1">
      <alignment horizontal="center" textRotation="0" wrapText="false" shrinkToFit="false"/>
    </xf>
    <xf xfId="0" fontId="7" numFmtId="0" fillId="10" borderId="17" applyFont="1" applyNumberFormat="0" applyFill="1" applyBorder="1" applyAlignment="1">
      <alignment horizontal="center" textRotation="0" wrapText="false" shrinkToFit="false"/>
    </xf>
    <xf xfId="0" fontId="7" numFmtId="0" fillId="10" borderId="2" applyFont="1" applyNumberFormat="0" applyFill="1" applyBorder="1" applyAlignment="1">
      <alignment horizontal="center" textRotation="0" wrapText="false" shrinkToFit="false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  <alignment/>
      <border/>
    </dxf>
    <dxf>
      <font/>
      <fill>
        <patternFill patternType="solid">
          <bgColor rgb="FF9CC2E5"/>
        </patternFill>
      </fill>
      <alignment/>
      <border/>
    </dxf>
    <dxf>
      <font>
        <color rgb="FF9C5700"/>
      </font>
      <fill>
        <patternFill patternType="solid">
          <bgColor rgb="FFFFEB9C"/>
        </patternFill>
      </fill>
      <alignment/>
      <border/>
    </dxf>
    <dxf>
      <font>
        <color rgb="FFFFFFFF"/>
      </font>
      <fill>
        <patternFill patternType="solid">
          <bgColor rgb="FFFF0000"/>
        </patternFill>
      </fill>
      <alignment/>
      <border/>
    </dxf>
    <dxf>
      <font/>
      <fill>
        <patternFill patternType="solid">
          <bgColor rgb="FFFFC7CE"/>
        </patternFill>
      </fill>
      <alignment/>
      <border/>
    </dxf>
    <dxf>
      <font>
        <b val="1"/>
        <i val="0"/>
        <color rgb="FFFF0000"/>
      </font>
      <alignment/>
      <border>
        <left style="dashDot">
          <color rgb="FF000000"/>
        </left>
        <right style="dashDot">
          <color rgb="FF000000"/>
        </right>
        <top style="dashDot">
          <color rgb="FF000000"/>
        </top>
        <bottom style="dashDot">
          <color rgb="FF000000"/>
        </bottom>
      </border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H85"/>
  <sheetViews>
    <sheetView tabSelected="1" workbookViewId="0" zoomScale="115" zoomScaleNormal="115" showGridLines="false" showRowColHeaders="1">
      <pane xSplit="6" ySplit="12" topLeftCell="BK13" activePane="bottomRight" state="frozen"/>
      <selection pane="topRight"/>
      <selection pane="bottomLeft"/>
      <selection pane="bottomRight" activeCell="G1" sqref="G1"/>
    </sheetView>
  </sheetViews>
  <sheetFormatPr defaultRowHeight="14.4" outlineLevelRow="0" outlineLevelCol="0"/>
  <cols>
    <col min="1" max="1" width="4.28515625" customWidth="true" style="0"/>
    <col min="2" max="2" width="9.85546875" customWidth="true" style="0"/>
    <col min="3" max="3" width="9.85546875" customWidth="true" style="0"/>
    <col min="4" max="4" width="9.85546875" customWidth="true" style="0"/>
    <col min="5" max="5" width="40.7109375" customWidth="true" style="0"/>
    <col min="6" max="6" width="4.85546875" customWidth="true" style="0"/>
    <col min="7" max="7" width="4.85546875" customWidth="true" style="0"/>
    <col min="8" max="8" width="4.85546875" customWidth="true" style="0"/>
    <col min="9" max="9" width="4.85546875" customWidth="true" style="0"/>
    <col min="10" max="10" width="4.85546875" customWidth="true" style="0"/>
    <col min="11" max="11" width="4.85546875" customWidth="true" style="0"/>
    <col min="12" max="12" width="4.85546875" customWidth="true" style="0"/>
    <col min="13" max="13" width="4.85546875" customWidth="true" style="0"/>
    <col min="14" max="14" width="4.85546875" customWidth="true" style="0"/>
    <col min="15" max="15" width="4.85546875" customWidth="true" style="0"/>
    <col min="16" max="16" width="4.85546875" customWidth="true" style="0"/>
    <col min="17" max="17" width="4.85546875" customWidth="true" style="0"/>
    <col min="18" max="18" width="4.85546875" customWidth="true" style="0"/>
    <col min="19" max="19" width="4.85546875" customWidth="true" style="0"/>
    <col min="20" max="20" width="4.85546875" customWidth="true" style="0"/>
    <col min="21" max="21" width="4.85546875" customWidth="true" style="0"/>
    <col min="22" max="22" width="4.85546875" customWidth="true" style="0"/>
    <col min="23" max="23" width="4.85546875" customWidth="true" style="0"/>
    <col min="24" max="24" width="4.85546875" customWidth="true" style="0"/>
    <col min="25" max="25" width="7.28515625" customWidth="true" style="0"/>
    <col min="26" max="26" width="4.85546875" customWidth="true" style="0"/>
    <col min="27" max="27" width="4.85546875" customWidth="true" style="0"/>
    <col min="28" max="28" width="4.85546875" customWidth="true" style="0"/>
    <col min="29" max="29" width="4.85546875" customWidth="true" style="0"/>
    <col min="30" max="30" width="4.85546875" customWidth="true" style="0"/>
    <col min="31" max="31" width="4.85546875" customWidth="true" style="0"/>
    <col min="32" max="32" width="4.85546875" customWidth="true" style="0"/>
    <col min="33" max="33" width="4.85546875" customWidth="true" style="0"/>
    <col min="34" max="34" width="4.85546875" customWidth="true" style="0"/>
    <col min="35" max="35" width="4.85546875" customWidth="true" style="0"/>
    <col min="36" max="36" width="4.85546875" customWidth="true" style="0"/>
    <col min="37" max="37" width="4.85546875" customWidth="true" style="0"/>
    <col min="38" max="38" width="4.85546875" customWidth="true" style="0"/>
    <col min="39" max="39" width="4.85546875" customWidth="true" style="0"/>
    <col min="40" max="40" width="4.85546875" customWidth="true" style="0"/>
    <col min="41" max="41" width="4.85546875" customWidth="true" style="0"/>
    <col min="42" max="42" width="4.85546875" customWidth="true" style="0"/>
    <col min="43" max="43" width="4.85546875" customWidth="true" style="0"/>
    <col min="44" max="44" width="7.28515625" customWidth="true" style="0"/>
    <col min="45" max="45" width="4.85546875" customWidth="true" style="0"/>
    <col min="46" max="46" width="4.85546875" customWidth="true" style="0"/>
    <col min="47" max="47" width="4.85546875" customWidth="true" style="0"/>
    <col min="48" max="48" width="4.85546875" customWidth="true" style="0"/>
    <col min="49" max="49" width="4.85546875" customWidth="true" style="0"/>
    <col min="50" max="50" width="4.85546875" customWidth="true" style="0"/>
    <col min="51" max="51" width="4.85546875" customWidth="true" style="0"/>
    <col min="52" max="52" width="4.85546875" customWidth="true" style="0"/>
    <col min="53" max="53" width="4.85546875" customWidth="true" style="0"/>
    <col min="54" max="54" width="4.85546875" customWidth="true" style="0"/>
    <col min="55" max="55" width="4.85546875" customWidth="true" style="0"/>
    <col min="56" max="56" width="4.85546875" customWidth="true" style="0"/>
    <col min="57" max="57" width="4.85546875" customWidth="true" style="0"/>
    <col min="58" max="58" width="4.85546875" customWidth="true" style="0"/>
    <col min="59" max="59" width="4.85546875" customWidth="true" style="0"/>
    <col min="60" max="60" width="4.85546875" customWidth="true" style="0"/>
    <col min="61" max="61" width="4.85546875" customWidth="true" style="0"/>
    <col min="62" max="62" width="4.85546875" customWidth="true" style="0"/>
    <col min="63" max="63" width="7.28515625" customWidth="true" style="0"/>
    <col min="64" max="64" width="4.85546875" customWidth="true" style="0"/>
    <col min="65" max="65" width="4.85546875" customWidth="true" style="0"/>
    <col min="66" max="66" width="4.85546875" customWidth="true" style="0"/>
    <col min="67" max="67" width="4.85546875" customWidth="true" style="0"/>
    <col min="68" max="68" width="4.85546875" customWidth="true" style="0"/>
    <col min="69" max="69" width="4.85546875" customWidth="true" style="0"/>
    <col min="70" max="70" width="4.85546875" customWidth="true" style="0"/>
    <col min="71" max="71" width="4.85546875" customWidth="true" style="0"/>
    <col min="72" max="72" width="4.85546875" customWidth="true" style="0"/>
    <col min="73" max="73" width="4.85546875" customWidth="true" style="0"/>
    <col min="74" max="74" width="4.85546875" customWidth="true" style="0"/>
    <col min="75" max="75" width="4.85546875" customWidth="true" style="0"/>
    <col min="76" max="76" width="4.85546875" customWidth="true" style="0"/>
    <col min="77" max="77" width="4.85546875" customWidth="true" style="0"/>
    <col min="78" max="78" width="4.85546875" customWidth="true" style="0"/>
    <col min="79" max="79" width="4.85546875" customWidth="true" style="0"/>
    <col min="80" max="80" width="4.85546875" customWidth="true" style="0"/>
    <col min="81" max="81" width="4.85546875" customWidth="true" style="0"/>
    <col min="82" max="82" width="7.28515625" customWidth="true" style="0"/>
    <col min="86" max="86" width="15.85546875" customWidth="true" style="0"/>
  </cols>
  <sheetData>
    <row r="1" spans="1:86" customHeight="1" ht="16.5">
      <c r="A1" s="64" t="s">
        <v>0</v>
      </c>
      <c r="B1" s="64"/>
      <c r="C1" s="64"/>
      <c r="D1" s="64"/>
      <c r="E1" s="64"/>
    </row>
    <row r="2" spans="1:86" customHeight="1" ht="16.5">
      <c r="A2" s="1" t="s">
        <v>1</v>
      </c>
      <c r="E2" s="5" t="s">
        <v>2</v>
      </c>
      <c r="F2" t="s">
        <v>108</v>
      </c>
    </row>
    <row r="3" spans="1:86">
      <c r="B3" t="s">
        <v>3</v>
      </c>
      <c r="D3" t="s">
        <v>109</v>
      </c>
      <c r="E3" s="2" t="s">
        <v>4</v>
      </c>
    </row>
    <row r="4" spans="1:86" customHeight="1" ht="15.75">
      <c r="B4" t="s">
        <v>5</v>
      </c>
      <c r="D4" t="s">
        <v>110</v>
      </c>
      <c r="E4" s="2">
        <v>2026</v>
      </c>
      <c r="G4" s="50" t="s">
        <v>6</v>
      </c>
      <c r="H4" s="50"/>
      <c r="I4" s="50"/>
      <c r="J4" s="50"/>
      <c r="K4" s="50"/>
      <c r="L4" s="50"/>
      <c r="M4" s="50"/>
      <c r="S4" s="4"/>
      <c r="Z4" s="4"/>
      <c r="AF4" s="4"/>
      <c r="AL4" s="4"/>
      <c r="AS4" s="4"/>
      <c r="AY4" s="4"/>
      <c r="BE4" s="4"/>
      <c r="BL4" s="4"/>
      <c r="BR4" s="4"/>
      <c r="BX4" s="4"/>
    </row>
    <row r="5" spans="1:86">
      <c r="B5" t="s">
        <v>7</v>
      </c>
      <c r="D5" t="s">
        <v>111</v>
      </c>
      <c r="E5" s="2" t="s">
        <v>8</v>
      </c>
    </row>
    <row r="6" spans="1:86">
      <c r="B6" t="s">
        <v>9</v>
      </c>
      <c r="D6" t="s">
        <v>112</v>
      </c>
      <c r="E6" s="2" t="s">
        <v>10</v>
      </c>
      <c r="G6" s="48" t="str">
        <f>IF(Y11&gt;110%,"Error Mayor que 110%","")</f>
        <v/>
      </c>
      <c r="H6" s="49"/>
      <c r="I6" s="49"/>
      <c r="J6" s="49"/>
      <c r="K6" s="49"/>
      <c r="L6" s="49"/>
      <c r="Z6" s="48" t="str">
        <f>IF(AR11&gt;110%,"Error Mayor que 110%","")</f>
        <v/>
      </c>
      <c r="AA6" s="49"/>
      <c r="AB6" s="49"/>
      <c r="AC6" s="49"/>
      <c r="AD6" s="49"/>
      <c r="AE6" s="49"/>
      <c r="AS6" s="48" t="str">
        <f>IF(BK11&gt;110%,"Error Mayor que 110%","")</f>
        <v/>
      </c>
      <c r="AT6" s="49"/>
      <c r="AU6" s="49"/>
      <c r="AV6" s="49"/>
      <c r="AW6" s="49"/>
      <c r="AX6" s="49"/>
      <c r="BL6" s="48" t="str">
        <f>IF(CD11&gt;110%,"Error Mayor que 110%","")</f>
        <v/>
      </c>
      <c r="BM6" s="49"/>
      <c r="BN6" s="49"/>
      <c r="BO6" s="49"/>
      <c r="BP6" s="49"/>
      <c r="BQ6" s="49"/>
    </row>
    <row r="7" spans="1:86" customHeight="1" ht="23.25">
      <c r="B7" t="s">
        <v>11</v>
      </c>
      <c r="D7" t="s">
        <v>113</v>
      </c>
      <c r="E7" s="6" t="s">
        <v>12</v>
      </c>
      <c r="G7" s="54" t="s">
        <v>13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6"/>
      <c r="Z7" s="63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6"/>
      <c r="AS7" s="63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6"/>
      <c r="BL7" s="63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6"/>
      <c r="CE7" s="65" t="s">
        <v>14</v>
      </c>
      <c r="CF7" s="66"/>
      <c r="CG7" s="66"/>
      <c r="CH7" s="67"/>
    </row>
    <row r="8" spans="1:86" customHeight="1" ht="18">
      <c r="G8" s="60">
        <v>1</v>
      </c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2"/>
      <c r="Z8" s="60">
        <v>2</v>
      </c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2"/>
      <c r="AS8" s="60">
        <v>3</v>
      </c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2"/>
      <c r="BL8" s="60">
        <v>4</v>
      </c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2"/>
      <c r="CE8" s="68"/>
      <c r="CF8" s="69"/>
      <c r="CG8" s="69"/>
      <c r="CH8" s="70"/>
    </row>
    <row r="9" spans="1:86" customHeight="1" ht="15.75">
      <c r="G9" s="57" t="s">
        <v>15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9"/>
      <c r="Z9" s="57" t="s">
        <v>15</v>
      </c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9"/>
      <c r="AS9" s="57" t="s">
        <v>15</v>
      </c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9"/>
      <c r="BL9" s="74" t="s">
        <v>15</v>
      </c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6"/>
      <c r="CE9" s="68"/>
      <c r="CF9" s="69"/>
      <c r="CG9" s="69"/>
      <c r="CH9" s="70"/>
    </row>
    <row r="10" spans="1:86" customHeight="1" ht="13.5">
      <c r="G10" s="51" t="s">
        <v>16</v>
      </c>
      <c r="H10" s="52"/>
      <c r="I10" s="52"/>
      <c r="J10" s="52"/>
      <c r="K10" s="52"/>
      <c r="L10" s="53"/>
      <c r="M10" s="51" t="s">
        <v>17</v>
      </c>
      <c r="N10" s="52"/>
      <c r="O10" s="52"/>
      <c r="P10" s="52"/>
      <c r="Q10" s="52"/>
      <c r="R10" s="53"/>
      <c r="S10" s="51" t="s">
        <v>18</v>
      </c>
      <c r="T10" s="52"/>
      <c r="U10" s="52"/>
      <c r="V10" s="53"/>
      <c r="W10" s="51" t="s">
        <v>19</v>
      </c>
      <c r="X10" s="53"/>
      <c r="Y10" s="23" t="s">
        <v>20</v>
      </c>
      <c r="Z10" s="51" t="s">
        <v>16</v>
      </c>
      <c r="AA10" s="52"/>
      <c r="AB10" s="52"/>
      <c r="AC10" s="52"/>
      <c r="AD10" s="52"/>
      <c r="AE10" s="53"/>
      <c r="AF10" s="51" t="s">
        <v>17</v>
      </c>
      <c r="AG10" s="52"/>
      <c r="AH10" s="52"/>
      <c r="AI10" s="52"/>
      <c r="AJ10" s="52"/>
      <c r="AK10" s="53"/>
      <c r="AL10" s="51" t="s">
        <v>18</v>
      </c>
      <c r="AM10" s="52"/>
      <c r="AN10" s="52"/>
      <c r="AO10" s="53"/>
      <c r="AP10" s="51" t="s">
        <v>19</v>
      </c>
      <c r="AQ10" s="53"/>
      <c r="AR10" s="23" t="s">
        <v>20</v>
      </c>
      <c r="AS10" s="51" t="s">
        <v>16</v>
      </c>
      <c r="AT10" s="52"/>
      <c r="AU10" s="52"/>
      <c r="AV10" s="52"/>
      <c r="AW10" s="52"/>
      <c r="AX10" s="53"/>
      <c r="AY10" s="51" t="s">
        <v>17</v>
      </c>
      <c r="AZ10" s="52"/>
      <c r="BA10" s="52"/>
      <c r="BB10" s="52"/>
      <c r="BC10" s="52"/>
      <c r="BD10" s="53"/>
      <c r="BE10" s="51" t="s">
        <v>18</v>
      </c>
      <c r="BF10" s="52"/>
      <c r="BG10" s="52"/>
      <c r="BH10" s="53"/>
      <c r="BI10" s="51" t="s">
        <v>19</v>
      </c>
      <c r="BJ10" s="53"/>
      <c r="BK10" s="23" t="s">
        <v>20</v>
      </c>
      <c r="BL10" s="77" t="s">
        <v>16</v>
      </c>
      <c r="BM10" s="78"/>
      <c r="BN10" s="78"/>
      <c r="BO10" s="78"/>
      <c r="BP10" s="78"/>
      <c r="BQ10" s="79"/>
      <c r="BR10" s="77" t="s">
        <v>17</v>
      </c>
      <c r="BS10" s="78"/>
      <c r="BT10" s="78"/>
      <c r="BU10" s="78"/>
      <c r="BV10" s="78"/>
      <c r="BW10" s="79"/>
      <c r="BX10" s="77" t="s">
        <v>18</v>
      </c>
      <c r="BY10" s="78"/>
      <c r="BZ10" s="78"/>
      <c r="CA10" s="79"/>
      <c r="CB10" s="77" t="s">
        <v>19</v>
      </c>
      <c r="CC10" s="79"/>
      <c r="CD10" s="29" t="s">
        <v>20</v>
      </c>
      <c r="CE10" s="68"/>
      <c r="CF10" s="69"/>
      <c r="CG10" s="69"/>
      <c r="CH10" s="70"/>
    </row>
    <row r="11" spans="1:86" customHeight="1" ht="13.5">
      <c r="E11" s="33"/>
      <c r="F11" s="34" t="s">
        <v>21</v>
      </c>
      <c r="G11" s="10">
        <v>0.2</v>
      </c>
      <c r="H11" s="11">
        <v>0.15</v>
      </c>
      <c r="I11" s="11"/>
      <c r="J11" s="11"/>
      <c r="K11" s="11"/>
      <c r="L11" s="25">
        <f>SUM(G11:K11)</f>
        <v>0.35</v>
      </c>
      <c r="M11" s="10"/>
      <c r="N11" s="11"/>
      <c r="O11" s="11"/>
      <c r="P11" s="11"/>
      <c r="Q11" s="11"/>
      <c r="R11" s="25">
        <f>SUM(M11:Q11)</f>
        <v>0</v>
      </c>
      <c r="S11" s="10"/>
      <c r="T11" s="11"/>
      <c r="U11" s="11"/>
      <c r="V11" s="25">
        <f>SUM(S11:U11)</f>
        <v>0</v>
      </c>
      <c r="W11" s="11"/>
      <c r="X11" s="8">
        <f>SUM(W11)</f>
        <v>0</v>
      </c>
      <c r="Y11" s="25">
        <f>IF(X11+V11+R11+L11&gt;110%,"error",X11+V11+R11+L11)</f>
        <v>0.35</v>
      </c>
      <c r="Z11" s="10"/>
      <c r="AA11" s="11"/>
      <c r="AB11" s="11"/>
      <c r="AC11" s="11"/>
      <c r="AD11" s="11"/>
      <c r="AE11" s="25">
        <f>SUM(Z11:AD11)</f>
        <v>0</v>
      </c>
      <c r="AF11" s="10"/>
      <c r="AG11" s="11"/>
      <c r="AH11" s="11"/>
      <c r="AI11" s="11"/>
      <c r="AJ11" s="11"/>
      <c r="AK11" s="25">
        <f>SUM(AF11:AJ11)</f>
        <v>0</v>
      </c>
      <c r="AL11" s="10">
        <v>0.15</v>
      </c>
      <c r="AM11" s="11">
        <v>0.15</v>
      </c>
      <c r="AN11" s="11"/>
      <c r="AO11" s="25">
        <f>SUM(AL11:AN11)</f>
        <v>0.3</v>
      </c>
      <c r="AP11" s="11"/>
      <c r="AQ11" s="25">
        <f>SUM(AP11)</f>
        <v>0</v>
      </c>
      <c r="AR11" s="25">
        <f>IF(AQ11+AO11+AK11+AE11&gt;110%,"error",AQ11+AO11+AK11+AE11)</f>
        <v>0.3</v>
      </c>
      <c r="AS11" s="10"/>
      <c r="AT11" s="11"/>
      <c r="AU11" s="11"/>
      <c r="AV11" s="11"/>
      <c r="AW11" s="11"/>
      <c r="AX11" s="25">
        <f>SUM(AS11:AW11)</f>
        <v>0</v>
      </c>
      <c r="AY11" s="10"/>
      <c r="AZ11" s="11"/>
      <c r="BA11" s="11"/>
      <c r="BB11" s="11"/>
      <c r="BC11" s="11"/>
      <c r="BD11" s="25">
        <f>SUM(AY11:BC11)</f>
        <v>0</v>
      </c>
      <c r="BE11" s="10"/>
      <c r="BF11" s="11"/>
      <c r="BG11" s="11"/>
      <c r="BH11" s="25">
        <f>SUM(BE11:BG11)</f>
        <v>0</v>
      </c>
      <c r="BI11" s="11"/>
      <c r="BJ11" s="25">
        <f>SUM(BI11)</f>
        <v>0</v>
      </c>
      <c r="BK11" s="25">
        <f>IF(BJ11+BH11+BD11+AX11&gt;110%,"error",BJ11+BH11+BD11+AX11)</f>
        <v>0</v>
      </c>
      <c r="BL11" s="10"/>
      <c r="BM11" s="11"/>
      <c r="BN11" s="11"/>
      <c r="BO11" s="11"/>
      <c r="BP11" s="11"/>
      <c r="BQ11" s="8">
        <f>SUM(BL11:BP11)</f>
        <v>0</v>
      </c>
      <c r="BR11" s="10"/>
      <c r="BS11" s="11"/>
      <c r="BT11" s="11"/>
      <c r="BU11" s="11"/>
      <c r="BV11" s="11"/>
      <c r="BW11" s="8">
        <f>SUM(BR11:BV11)</f>
        <v>0</v>
      </c>
      <c r="BX11" s="10"/>
      <c r="BY11" s="11"/>
      <c r="BZ11" s="11"/>
      <c r="CA11" s="8">
        <f>SUM(BX11:BZ11)</f>
        <v>0</v>
      </c>
      <c r="CB11" s="11"/>
      <c r="CC11" s="8">
        <f>SUM(CB11)</f>
        <v>0</v>
      </c>
      <c r="CD11" s="25">
        <f>IF(CC11+CA11+BW11+BQ11&gt;110%,"error",CC11+CA11+BW11+BQ11)</f>
        <v>0</v>
      </c>
      <c r="CE11" s="71"/>
      <c r="CF11" s="72"/>
      <c r="CG11" s="72"/>
      <c r="CH11" s="73"/>
    </row>
    <row r="12" spans="1:86" customHeight="1" ht="93.75">
      <c r="A12" s="35" t="s">
        <v>22</v>
      </c>
      <c r="B12" s="36" t="s">
        <v>23</v>
      </c>
      <c r="C12" s="36" t="s">
        <v>24</v>
      </c>
      <c r="D12" s="36" t="s">
        <v>25</v>
      </c>
      <c r="E12" s="37" t="s">
        <v>26</v>
      </c>
      <c r="F12" s="38" t="s">
        <v>27</v>
      </c>
      <c r="G12" s="30"/>
      <c r="H12" s="22"/>
      <c r="I12" s="22"/>
      <c r="J12" s="22"/>
      <c r="K12" s="22"/>
      <c r="L12" s="26" t="s">
        <v>28</v>
      </c>
      <c r="M12" s="22"/>
      <c r="N12" s="22"/>
      <c r="O12" s="22"/>
      <c r="P12" s="22"/>
      <c r="Q12" s="22"/>
      <c r="R12" s="26" t="s">
        <v>28</v>
      </c>
      <c r="S12" s="22"/>
      <c r="T12" s="22"/>
      <c r="U12" s="22"/>
      <c r="V12" s="26" t="s">
        <v>29</v>
      </c>
      <c r="W12" s="22"/>
      <c r="X12" s="9" t="s">
        <v>30</v>
      </c>
      <c r="Y12" s="24" t="s">
        <v>31</v>
      </c>
      <c r="Z12" s="22"/>
      <c r="AA12" s="22"/>
      <c r="AB12" s="22"/>
      <c r="AC12" s="22"/>
      <c r="AD12" s="22"/>
      <c r="AE12" s="26" t="s">
        <v>28</v>
      </c>
      <c r="AF12" s="22"/>
      <c r="AG12" s="22"/>
      <c r="AH12" s="22"/>
      <c r="AI12" s="22"/>
      <c r="AJ12" s="22"/>
      <c r="AK12" s="26" t="s">
        <v>28</v>
      </c>
      <c r="AL12" s="22"/>
      <c r="AM12" s="22"/>
      <c r="AN12" s="22"/>
      <c r="AO12" s="26" t="s">
        <v>29</v>
      </c>
      <c r="AP12" s="22"/>
      <c r="AQ12" s="26" t="s">
        <v>30</v>
      </c>
      <c r="AR12" s="24" t="s">
        <v>31</v>
      </c>
      <c r="AS12" s="22"/>
      <c r="AT12" s="22"/>
      <c r="AU12" s="22"/>
      <c r="AV12" s="22"/>
      <c r="AW12" s="22"/>
      <c r="AX12" s="26" t="s">
        <v>28</v>
      </c>
      <c r="AY12" s="22"/>
      <c r="AZ12" s="22"/>
      <c r="BA12" s="22"/>
      <c r="BB12" s="22"/>
      <c r="BC12" s="22"/>
      <c r="BD12" s="26" t="s">
        <v>28</v>
      </c>
      <c r="BE12" s="22"/>
      <c r="BF12" s="22"/>
      <c r="BG12" s="22"/>
      <c r="BH12" s="27" t="s">
        <v>29</v>
      </c>
      <c r="BI12" s="22"/>
      <c r="BJ12" s="26" t="s">
        <v>30</v>
      </c>
      <c r="BK12" s="24" t="s">
        <v>31</v>
      </c>
      <c r="BL12" s="22"/>
      <c r="BM12" s="22"/>
      <c r="BN12" s="22"/>
      <c r="BO12" s="22"/>
      <c r="BP12" s="22"/>
      <c r="BQ12" s="26" t="s">
        <v>28</v>
      </c>
      <c r="BR12" s="22"/>
      <c r="BS12" s="22"/>
      <c r="BT12" s="22"/>
      <c r="BU12" s="22"/>
      <c r="BV12" s="22"/>
      <c r="BW12" s="26" t="s">
        <v>28</v>
      </c>
      <c r="BX12" s="22"/>
      <c r="BY12" s="22"/>
      <c r="BZ12" s="22"/>
      <c r="CA12" s="26" t="s">
        <v>29</v>
      </c>
      <c r="CB12" s="22"/>
      <c r="CC12" s="26" t="s">
        <v>30</v>
      </c>
      <c r="CD12" s="24" t="s">
        <v>31</v>
      </c>
      <c r="CE12" s="15" t="s">
        <v>32</v>
      </c>
      <c r="CF12" s="15" t="s">
        <v>33</v>
      </c>
      <c r="CG12" s="15" t="s">
        <v>34</v>
      </c>
      <c r="CH12" s="15" t="s">
        <v>35</v>
      </c>
    </row>
    <row r="13" spans="1:86" customHeight="1" ht="20.25">
      <c r="A13" s="39">
        <v>1</v>
      </c>
      <c r="B13" s="2">
        <v>10282516</v>
      </c>
      <c r="C13" s="2">
        <v>4384</v>
      </c>
      <c r="D13" s="2">
        <v>26947</v>
      </c>
      <c r="E13" s="2" t="s">
        <v>36</v>
      </c>
      <c r="F13" s="40" t="s">
        <v>37</v>
      </c>
      <c r="G13" s="31"/>
      <c r="H13" s="7"/>
      <c r="I13" s="7"/>
      <c r="J13" s="7"/>
      <c r="K13" s="7"/>
      <c r="L13" s="46">
        <f>IF(OR($G$4="MEDIA",$G$4="BASICA - TERCER CICLO"),ROUND(((G13*$G$11)+(H13*$H$11)+(I13*$I$11)+(J13*$J$11)+(K13*$K$11)*100)/35%,2),ROUND((G13*$G$11)+(H13*$H$11)+(I13*$I$11)+(J13*$J$11)+(K13*$K$11),2))</f>
        <v>0</v>
      </c>
      <c r="M13" s="7"/>
      <c r="N13" s="7"/>
      <c r="O13" s="7"/>
      <c r="P13" s="7"/>
      <c r="Q13" s="7"/>
      <c r="R13" s="46">
        <f>IF(OR($G$4="MEDIA",$G$4="BASICA - TERCER CICLO"),ROUND(((M13*$M$11)+(N13*$N$11)+(O13*$O$11)+(P13*$P$11)+(Q13*$Q$11)*100)/35%,2),ROUND((M13*$M$11)+(N13*$N$11)+(O13*$O$11)+(P13*$P$11)+(Q13*$Q$11),2))</f>
        <v>0</v>
      </c>
      <c r="S13" s="7"/>
      <c r="T13" s="7"/>
      <c r="U13" s="7"/>
      <c r="V13" s="13">
        <f>IF(OR($G$4="MEDIA",$G$4="BASICA - TERCER CICLO"),ROUND(((S13*$S$11)+(T13*$T$11)+(U13*$U$11)*100)/30%,2),ROUND(((S13*$S$11)+(T13*$T$11)+(U13*$U$11)*100)/30%,2))</f>
        <v>0</v>
      </c>
      <c r="W13" s="7"/>
      <c r="X13" s="14">
        <f>IF(OR($G$4="MEDIA",$G$4="BASICA - TERCER CICLO"),ROUND((W13*$W$11),2),ROUND((W13*$W$11),0))</f>
        <v>0</v>
      </c>
      <c r="Y13" s="47">
        <f>ROUND((L13+R13+V13)/3,1)</f>
        <v>0</v>
      </c>
      <c r="Z13" s="7"/>
      <c r="AA13" s="7"/>
      <c r="AB13" s="7"/>
      <c r="AC13" s="7"/>
      <c r="AD13" s="7"/>
      <c r="AE13" s="46">
        <f>IF(OR($G$4="MEDIA",$G$4="BASICA - TERCER CICLO"),ROUND(((Z13*$Z$11)+(AA13*$AA$11)+(AB13*$AB$11)+(AC13*$AC$11)+(AD13*$AD$11)*100)/35%,2),ROUND((Z13*$Z$11)+(AA13*$AA$11)+(AB13*$AB$11)+(AC13*$AC$11)+(AD13*$AD$11),2))</f>
        <v>0</v>
      </c>
      <c r="AF13" s="7"/>
      <c r="AG13" s="7"/>
      <c r="AH13" s="7"/>
      <c r="AI13" s="7"/>
      <c r="AJ13" s="7"/>
      <c r="AK13" s="46">
        <f>IF(OR($G$4="MEDIA",$G$4="BASICA - TERCER CICLO"),ROUND(((AF13*$AF$11)+(AG13*$AG$11)+(AH13*$AH$11)+(AI13*$AI$11)+(AJ13*$AJ$11)*100)/35%,2),ROUND((AF13*$AF$11)+(AG13*$AG$11)+(AH13*$AH$11)+(AI13*$AI$11)+(AJ13*$AJ$11),2))</f>
        <v>0</v>
      </c>
      <c r="AL13" s="7"/>
      <c r="AM13" s="7"/>
      <c r="AN13" s="7"/>
      <c r="AO13" s="46">
        <f>IF(OR($G$4="MEDIA",$G$4="BASICA - TERCER CICLO"),ROUND(((AL13*$AL$11)+(AM13*$AM$11)+(AN13*$AN$11)*100)/30%,2),ROUND(((AL13*$AL$11)+(AM13*$AM$11)+(AN13*$AN$11)*100)/30%,2))</f>
        <v>0</v>
      </c>
      <c r="AP13" s="7"/>
      <c r="AQ13" s="14">
        <f>IF(OR($G$4="MEDIA",$G$4="BASICA - TERCER CICLO"),ROUND((AP13*$AP$11),2),ROUND((AP13*$AP$11),0))</f>
        <v>0</v>
      </c>
      <c r="AR13" s="47">
        <f>ROUND((AE13+AK13+AO13)/3,1)</f>
        <v>0</v>
      </c>
      <c r="AS13" s="7"/>
      <c r="AT13" s="7"/>
      <c r="AU13" s="7"/>
      <c r="AV13" s="7"/>
      <c r="AW13" s="7"/>
      <c r="AX13" s="46">
        <f>IF(OR($G$4="MEDIA",$G$4="BASICA - TERCER CICLO"),ROUND(((AS13*$AS$11)+(AT13*$AT$11)+(AU13*$AU$11)+(AV13*$AV$11)+(AW13*$AW$11)*100)/35%,2),ROUND((AS13*$AS$11)+(AT13*$AT$11)+(AU13*$AU$11)+(AV13*$AV$11)+(AW13*$AW$11),2))</f>
        <v>0</v>
      </c>
      <c r="AY13" s="7"/>
      <c r="AZ13" s="7"/>
      <c r="BA13" s="7"/>
      <c r="BB13" s="7"/>
      <c r="BC13" s="7"/>
      <c r="BD13" s="46">
        <f>IF(OR($G$4="MEDIA",$G$4="BASICA - TERCER CICLO"),ROUND(((AY13*$AY$11)+(AZ13*$AZ$11)+(BA13*$BA$11)+(BB13*$BB$11)+(BC13*$BC$11)*100)/35%,2),ROUND((AY13*$AY$11)+(AZ13*$AZ$11)+(BA13*$BA$11)+(BB13*$BB$11)+(BC13*$BC$11),2))</f>
        <v>0</v>
      </c>
      <c r="BE13" s="7"/>
      <c r="BF13" s="7"/>
      <c r="BG13" s="7"/>
      <c r="BH13" s="46">
        <f>IF(OR($G$4="MEDIA",$G$4="BASICA - TERCER CICLO"),ROUND(((BE13*$BE$11)+(BF13*$BF$11)+(BG13*$BG$11)*100)/30%,2),ROUND(((BE13*$BE$11)+(BF13*$BF$11)+(BG13*$BG$11)*100)/30%,2))</f>
        <v>0</v>
      </c>
      <c r="BI13" s="7"/>
      <c r="BJ13" s="14">
        <f>IF(OR($G$4="MEDIA",$G$4="BASICA - TERCER CICLO"),ROUND((BI13*$BI$11),2),ROUND((BI13*$BI$11),0))</f>
        <v>0</v>
      </c>
      <c r="BK13" s="47">
        <f>ROUND((AX13+BD13+BH13)/3,1)</f>
        <v>0</v>
      </c>
      <c r="BL13" s="7"/>
      <c r="BM13" s="7"/>
      <c r="BN13" s="7"/>
      <c r="BO13" s="7"/>
      <c r="BP13" s="7"/>
      <c r="BQ13" s="13">
        <f>IF(OR($G$4="MEDIA",$G$4="BASICA - TERCER CICLO"),ROUND(((BL13*$BL$11)+(BM13*$BM$11)+(BN13*$BN$11)+(BO13*$BO$11)+(BP13*$BP$11)*100)/35%,2),ROUND(((BL13*$BL$11)+(BM13*$BM$11)+(BN13*$BN$11)+(BO13*$BO$11)+(BP13*$BP$11)*100)/35%,2))</f>
        <v>0</v>
      </c>
      <c r="BR13" s="7"/>
      <c r="BS13" s="7"/>
      <c r="BT13" s="7"/>
      <c r="BU13" s="7"/>
      <c r="BV13" s="7"/>
      <c r="BW13" s="13">
        <f>IF(OR($G$4="MEDIA",$G$4="BASICA - TERCER CICLO"),ROUND(((BR13*$BR$11)+(BS13*$BS$11)+(BT13*$BT$11)+(BU13*$BU$11)+(BV13*$BV$11)*100)/35%,2),ROUND(((BR13*$BR$11)+(BS13*$BS$11)+(BT13*$BT$11)+(BU13*$BU$11)+(BV13*$BP$11)*100)/35%,2))</f>
        <v>0</v>
      </c>
      <c r="BX13" s="7"/>
      <c r="BY13" s="7"/>
      <c r="BZ13" s="7"/>
      <c r="CA13" s="13">
        <f>IF(OR($G$4="MEDIA",$G$4="BASICA - TERCER CICLO"),ROUND(((BX13*$BX$11)+(BY13*$BY$11)+(BZ13*$BZ$11)*100)/30%,2),ROUND(((BX13*$BX$11)+(BY13*$BY$11)+(BZ13*$BZ$11)*100)/30%,2))</f>
        <v>0</v>
      </c>
      <c r="CB13" s="7"/>
      <c r="CC13" s="14">
        <f>IF(OR($G$4="MEDIA",$G$4="BASICA - TERCER CICLO"),ROUND((CB13*$BI$11),2),ROUND((CB13*$BI$11),0))</f>
        <v>0</v>
      </c>
      <c r="CD13" s="28">
        <f>IF(OR($G$4="MEDIA",$G$4="BASICA - TERCER CICLO"),ROUND((BQ13+BW13+CA13+CC13),1),IF($G$4="BASICA",ROUND((BQ13+BW13+CA13+CC13),1),ROUND((BQ13+BW13+CA13+CC13),1)))</f>
        <v>0</v>
      </c>
      <c r="CE13" s="28">
        <f>IF($G$4 = "MEDIA",ROUND(((Y13+AR13+BK13+CD13)/4),0),ROUND(((Y13+AR13+BK13)/3),0))</f>
        <v>0</v>
      </c>
      <c r="CF13" s="18"/>
      <c r="CG13" s="28">
        <f>IF(AND(CE13&lt;5,$G$4="BASICA"),ROUND((CE13+CF13)/2,0),IF(AND(CE13&lt;6,$G$4="MEDIA"),ROUND((CE13+CF13)/2,0),CE13))</f>
        <v>0</v>
      </c>
      <c r="CH13" s="17" t="str">
        <f>IF($G$4="MEDIA",IF(CG13&gt;=6,"Aprobado","Reprobado"),IF(CG13&gt;=5,"Aprobado","Reprobado"))</f>
        <v>Reprobado</v>
      </c>
    </row>
    <row r="14" spans="1:86" customHeight="1" ht="20.25">
      <c r="A14" s="41">
        <v>2</v>
      </c>
      <c r="B14" s="3">
        <v>10282518</v>
      </c>
      <c r="C14" s="3">
        <v>4385</v>
      </c>
      <c r="D14" s="3">
        <v>26948</v>
      </c>
      <c r="E14" s="3" t="s">
        <v>38</v>
      </c>
      <c r="F14" s="42" t="s">
        <v>39</v>
      </c>
      <c r="G14" s="32"/>
      <c r="H14" s="12"/>
      <c r="I14" s="12"/>
      <c r="J14" s="12"/>
      <c r="K14" s="12"/>
      <c r="L14" s="46">
        <f>IF(OR($G$4="MEDIA",$G$4="BASICA - TERCER CICLO"),ROUND(((G14*$G$11)+(H14*$H$11)+(I14*$I$11)+(J14*$J$11)+(K14*$K$11)*100)/35%,2),ROUND((G14*$G$11)+(H14*$H$11)+(I14*$I$11)+(J14*$J$11)+(K14*$K$11),2))</f>
        <v>0</v>
      </c>
      <c r="M14" s="12"/>
      <c r="N14" s="12"/>
      <c r="O14" s="12"/>
      <c r="P14" s="12"/>
      <c r="Q14" s="12"/>
      <c r="R14" s="46">
        <f>IF(OR($G$4="MEDIA",$G$4="BASICA - TERCER CICLO"),ROUND(((M14*$M$11)+(N14*$N$11)+(O14*$O$11)+(P14*$P$11)+(Q14*$Q$11)*100)/35%,2),ROUND((M14*$M$11)+(N14*$N$11)+(O14*$O$11)+(P14*$P$11)+(Q14*$Q$11),2))</f>
        <v>0</v>
      </c>
      <c r="S14" s="12"/>
      <c r="T14" s="12"/>
      <c r="U14" s="12"/>
      <c r="V14" s="13">
        <f>IF(OR($G$4="MEDIA",$G$4="BASICA - TERCER CICLO"),ROUND(((S14*$S$11)+(T14*$T$11)+(U14*$U$11)*100)/30%,2),ROUND(((S14*$S$11)+(T14*$T$11)+(U14*$U$11)*100)/30%,2))</f>
        <v>0</v>
      </c>
      <c r="W14" s="12"/>
      <c r="X14" s="14">
        <f>IF(OR($G$4="MEDIA",$G$4="BASICA - TERCER CICLO"),ROUND((W14*$W$11),2),ROUND((W14*$W$11),0))</f>
        <v>0</v>
      </c>
      <c r="Y14" s="47">
        <f>ROUND((L14+R14+V14)/3,1)</f>
        <v>0</v>
      </c>
      <c r="Z14" s="12"/>
      <c r="AA14" s="12"/>
      <c r="AB14" s="12"/>
      <c r="AC14" s="12"/>
      <c r="AD14" s="12"/>
      <c r="AE14" s="46">
        <f>IF(OR($G$4="MEDIA",$G$4="BASICA - TERCER CICLO"),ROUND(((Z14*$Z$11)+(AA14*$AA$11)+(AB14*$AB$11)+(AC14*$AC$11)+(AD14*$AD$11)*100)/35%,2),ROUND((Z14*$Z$11)+(AA14*$AA$11)+(AB14*$AB$11)+(AC14*$AC$11)+(AD14*$AD$11),2))</f>
        <v>0</v>
      </c>
      <c r="AF14" s="12"/>
      <c r="AG14" s="12"/>
      <c r="AH14" s="12"/>
      <c r="AI14" s="12"/>
      <c r="AJ14" s="12"/>
      <c r="AK14" s="46">
        <f>IF(OR($G$4="MEDIA",$G$4="BASICA - TERCER CICLO"),ROUND(((AF14*$AF$11)+(AG14*$AG$11)+(AH14*$AH$11)+(AI14*$AI$11)+(AJ14*$AJ$11)*100)/35%,2),ROUND((AF14*$AF$11)+(AG14*$AG$11)+(AH14*$AH$11)+(AI14*$AI$11)+(AJ14*$AJ$11),2))</f>
        <v>0</v>
      </c>
      <c r="AL14" s="12"/>
      <c r="AM14" s="12"/>
      <c r="AN14" s="12"/>
      <c r="AO14" s="46">
        <f>IF(OR($G$4="MEDIA",$G$4="BASICA - TERCER CICLO"),ROUND(((AL14*$AL$11)+(AM14*$AM$11)+(AN14*$AN$11)*100)/30%,2),ROUND(((AL14*$AL$11)+(AM14*$AM$11)+(AN14*$AN$11)*100)/30%,2))</f>
        <v>0</v>
      </c>
      <c r="AP14" s="12"/>
      <c r="AQ14" s="14">
        <f>IF(OR($G$4="MEDIA",$G$4="BASICA - TERCER CICLO"),ROUND((AP14*$AP$11),2),ROUND((AP14*$AP$11),0))</f>
        <v>0</v>
      </c>
      <c r="AR14" s="47">
        <f>ROUND((AE14+AK14+AO14)/3,1)</f>
        <v>0</v>
      </c>
      <c r="AS14" s="12"/>
      <c r="AT14" s="12"/>
      <c r="AU14" s="12"/>
      <c r="AV14" s="12"/>
      <c r="AW14" s="12"/>
      <c r="AX14" s="46">
        <f>IF(OR($G$4="MEDIA",$G$4="BASICA - TERCER CICLO"),ROUND(((AS14*$AS$11)+(AT14*$AT$11)+(AU14*$AU$11)+(AV14*$AV$11)+(AW14*$AW$11)*100)/35%,2),ROUND((AS14*$AS$11)+(AT14*$AT$11)+(AU14*$AU$11)+(AV14*$AV$11)+(AW14*$AW$11),2))</f>
        <v>0</v>
      </c>
      <c r="AY14" s="12"/>
      <c r="AZ14" s="12"/>
      <c r="BA14" s="12"/>
      <c r="BB14" s="12"/>
      <c r="BC14" s="12"/>
      <c r="BD14" s="46">
        <f>IF(OR($G$4="MEDIA",$G$4="BASICA - TERCER CICLO"),ROUND(((AY14*$AY$11)+(AZ14*$AZ$11)+(BA14*$BA$11)+(BB14*$BB$11)+(BC14*$BC$11)*100)/35%,2),ROUND((AY14*$AY$11)+(AZ14*$AZ$11)+(BA14*$BA$11)+(BB14*$BB$11)+(BC14*$BC$11),2))</f>
        <v>0</v>
      </c>
      <c r="BE14" s="12"/>
      <c r="BF14" s="12"/>
      <c r="BG14" s="12"/>
      <c r="BH14" s="46">
        <f>IF(OR($G$4="MEDIA",$G$4="BASICA - TERCER CICLO"),ROUND(((BE14*$BE$11)+(BF14*$BF$11)+(BG14*$BG$11)*100)/30%,2),ROUND(((BE14*$BE$11)+(BF14*$BF$11)+(BG14*$BG$11)*100)/30%,2))</f>
        <v>0</v>
      </c>
      <c r="BI14" s="12"/>
      <c r="BJ14" s="14">
        <f>IF(OR($G$4="MEDIA",$G$4="BASICA - TERCER CICLO"),ROUND((BI14*$BI$11),2),ROUND((BI14*$BI$11),0))</f>
        <v>0</v>
      </c>
      <c r="BK14" s="47">
        <f>ROUND((AX14+BD14+BH14)/3,1)</f>
        <v>0</v>
      </c>
      <c r="BL14" s="12"/>
      <c r="BM14" s="12"/>
      <c r="BN14" s="12"/>
      <c r="BO14" s="12"/>
      <c r="BP14" s="12"/>
      <c r="BQ14" s="13">
        <f>IF(OR($G$4="MEDIA",$G$4="BASICA - TERCER CICLO"),ROUND(((BL14*$BL$11)+(BM14*$BM$11)+(BN14*$BN$11)+(BO14*$BO$11)+(BP14*$BP$11)*100)/35%,2),ROUND(((BL14*$BL$11)+(BM14*$BM$11)+(BN14*$BN$11)+(BO14*$BO$11)+(BP14*$BP$11)*100)/35%,2))</f>
        <v>0</v>
      </c>
      <c r="BR14" s="12"/>
      <c r="BS14" s="12"/>
      <c r="BT14" s="12"/>
      <c r="BU14" s="12"/>
      <c r="BV14" s="12"/>
      <c r="BW14" s="13">
        <f>IF(OR($G$4="MEDIA",$G$4="BASICA - TERCER CICLO"),ROUND(((BR14*$BR$11)+(BS14*$BS$11)+(BT14*$BT$11)+(BU14*$BU$11)+(BV14*$BV$11)*100)/35%,2),ROUND(((BR14*$BR$11)+(BS14*$BS$11)+(BT14*$BT$11)+(BU14*$BU$11)+(BV14*$BP$11)*100)/35%,2))</f>
        <v>0</v>
      </c>
      <c r="BX14" s="12"/>
      <c r="BY14" s="12"/>
      <c r="BZ14" s="12"/>
      <c r="CA14" s="13">
        <f>IF(OR($G$4="MEDIA",$G$4="BASICA - TERCER CICLO"),ROUND(((BX14*$BX$11)+(BY14*$BY$11)+(BZ14*$BZ$11)*100)/30%,2),ROUND(((BX14*$BX$11)+(BY14*$BY$11)+(BZ14*$BZ$11)*100)/30%,2))</f>
        <v>0</v>
      </c>
      <c r="CB14" s="12"/>
      <c r="CC14" s="14">
        <f>IF(OR($G$4="MEDIA",$G$4="BASICA - TERCER CICLO"),ROUND((CB14*$BI$11),2),ROUND((CB14*$BI$11),0))</f>
        <v>0</v>
      </c>
      <c r="CD14" s="28">
        <f>IF(OR($G$4="MEDIA",$G$4="BASICA - TERCER CICLO"),ROUND((BQ14+BW14+CA14+CC14),1),IF($G$4="BASICA",ROUND((BQ14+BW14+CA14+CC14),0),ROUND((BQ14+BW14+CA14+CC14),1)))</f>
        <v>0</v>
      </c>
      <c r="CE14" s="28">
        <f>IF($G$4 = "MEDIA",ROUND(((Y14+AR14+BK14+CD14)/4),0),ROUND(((Y14+AR14+BK14)/3),0))</f>
        <v>0</v>
      </c>
      <c r="CF14" s="19"/>
      <c r="CG14" s="28">
        <f>IF(AND(CE14&lt;5,$G$4="BASICA"),ROUND((CE14+CF14)/2,0),IF(AND(CE14&lt;6,$G$4="MEDIA"),ROUND((CE14+CF14)/2,0),CE14))</f>
        <v>0</v>
      </c>
      <c r="CH14" s="16" t="str">
        <f>IF($G$4="MEDIA",IF(CG14&gt;=6,"Aprobado","Reprobado"),IF(CG14&gt;=5,"Aprobado","Reprobado"))</f>
        <v>Reprobado</v>
      </c>
    </row>
    <row r="15" spans="1:86" customHeight="1" ht="20.25">
      <c r="A15" s="39">
        <v>3</v>
      </c>
      <c r="B15" s="2">
        <v>10584473</v>
      </c>
      <c r="C15" s="2">
        <v>5160</v>
      </c>
      <c r="D15" s="2">
        <v>26949</v>
      </c>
      <c r="E15" s="2" t="s">
        <v>40</v>
      </c>
      <c r="F15" s="40" t="s">
        <v>39</v>
      </c>
      <c r="G15" s="31"/>
      <c r="H15" s="7"/>
      <c r="I15" s="7"/>
      <c r="J15" s="7"/>
      <c r="K15" s="7"/>
      <c r="L15" s="46">
        <f>IF(OR($G$4="MEDIA",$G$4="BASICA - TERCER CICLO"),ROUND(((G15*$G$11)+(H15*$H$11)+(I15*$I$11)+(J15*$J$11)+(K15*$K$11)*100)/35%,2),ROUND((G15*$G$11)+(H15*$H$11)+(I15*$I$11)+(J15*$J$11)+(K15*$K$11),2))</f>
        <v>0</v>
      </c>
      <c r="M15" s="7"/>
      <c r="N15" s="7"/>
      <c r="O15" s="7"/>
      <c r="P15" s="7"/>
      <c r="Q15" s="7"/>
      <c r="R15" s="46">
        <f>IF(OR($G$4="MEDIA",$G$4="BASICA - TERCER CICLO"),ROUND(((M15*$M$11)+(N15*$N$11)+(O15*$O$11)+(P15*$P$11)+(Q15*$Q$11)*100)/35%,2),ROUND((M15*$M$11)+(N15*$N$11)+(O15*$O$11)+(P15*$P$11)+(Q15*$Q$11),2))</f>
        <v>0</v>
      </c>
      <c r="S15" s="7"/>
      <c r="T15" s="7"/>
      <c r="U15" s="7"/>
      <c r="V15" s="13">
        <f>IF(OR($G$4="MEDIA",$G$4="BASICA - TERCER CICLO"),ROUND(((S15*$S$11)+(T15*$T$11)+(U15*$U$11)*100)/30%,2),ROUND(((S15*$S$11)+(T15*$T$11)+(U15*$U$11)*100)/30%,2))</f>
        <v>0</v>
      </c>
      <c r="W15" s="7"/>
      <c r="X15" s="14">
        <f>IF(OR($G$4="MEDIA",$G$4="BASICA - TERCER CICLO"),ROUND((W15*$W$11),2),ROUND((W15*$W$11),0))</f>
        <v>0</v>
      </c>
      <c r="Y15" s="47">
        <f>ROUND((L15+R15+V15)/3,1)</f>
        <v>0</v>
      </c>
      <c r="Z15" s="7"/>
      <c r="AA15" s="7"/>
      <c r="AB15" s="7"/>
      <c r="AC15" s="7"/>
      <c r="AD15" s="7"/>
      <c r="AE15" s="46">
        <f>IF(OR($G$4="MEDIA",$G$4="BASICA - TERCER CICLO"),ROUND(((Z15*$Z$11)+(AA15*$AA$11)+(AB15*$AB$11)+(AC15*$AC$11)+(AD15*$AD$11)*100)/35%,2),ROUND((Z15*$Z$11)+(AA15*$AA$11)+(AB15*$AB$11)+(AC15*$AC$11)+(AD15*$AD$11),2))</f>
        <v>0</v>
      </c>
      <c r="AF15" s="7"/>
      <c r="AG15" s="7"/>
      <c r="AH15" s="7"/>
      <c r="AI15" s="7"/>
      <c r="AJ15" s="7"/>
      <c r="AK15" s="46">
        <f>IF(OR($G$4="MEDIA",$G$4="BASICA - TERCER CICLO"),ROUND(((AF15*$AF$11)+(AG15*$AG$11)+(AH15*$AH$11)+(AI15*$AI$11)+(AJ15*$AJ$11)*100)/35%,2),ROUND((AF15*$AF$11)+(AG15*$AG$11)+(AH15*$AH$11)+(AI15*$AI$11)+(AJ15*$AJ$11),2))</f>
        <v>0</v>
      </c>
      <c r="AL15" s="7"/>
      <c r="AM15" s="7"/>
      <c r="AN15" s="7"/>
      <c r="AO15" s="46">
        <f>IF(OR($G$4="MEDIA",$G$4="BASICA - TERCER CICLO"),ROUND(((AL15*$AL$11)+(AM15*$AM$11)+(AN15*$AN$11)*100)/30%,2),ROUND(((AL15*$AL$11)+(AM15*$AM$11)+(AN15*$AN$11)*100)/30%,2))</f>
        <v>0</v>
      </c>
      <c r="AP15" s="7"/>
      <c r="AQ15" s="14">
        <f>IF(OR($G$4="MEDIA",$G$4="BASICA - TERCER CICLO"),ROUND((AP15*$AP$11),2),ROUND((AP15*$AP$11),0))</f>
        <v>0</v>
      </c>
      <c r="AR15" s="47">
        <f>ROUND((AE15+AK15+AO15)/3,1)</f>
        <v>0</v>
      </c>
      <c r="AS15" s="7"/>
      <c r="AT15" s="7"/>
      <c r="AU15" s="7"/>
      <c r="AV15" s="7"/>
      <c r="AW15" s="7"/>
      <c r="AX15" s="46">
        <f>IF(OR($G$4="MEDIA",$G$4="BASICA - TERCER CICLO"),ROUND(((AS15*$AS$11)+(AT15*$AT$11)+(AU15*$AU$11)+(AV15*$AV$11)+(AW15*$AW$11)*100)/35%,2),ROUND((AS15*$AS$11)+(AT15*$AT$11)+(AU15*$AU$11)+(AV15*$AV$11)+(AW15*$AW$11),2))</f>
        <v>0</v>
      </c>
      <c r="AY15" s="7"/>
      <c r="AZ15" s="7"/>
      <c r="BA15" s="7"/>
      <c r="BB15" s="7"/>
      <c r="BC15" s="7"/>
      <c r="BD15" s="46">
        <f>IF(OR($G$4="MEDIA",$G$4="BASICA - TERCER CICLO"),ROUND(((AY15*$AY$11)+(AZ15*$AZ$11)+(BA15*$BA$11)+(BB15*$BB$11)+(BC15*$BC$11)*100)/35%,2),ROUND((AY15*$AY$11)+(AZ15*$AZ$11)+(BA15*$BA$11)+(BB15*$BB$11)+(BC15*$BC$11),2))</f>
        <v>0</v>
      </c>
      <c r="BE15" s="7"/>
      <c r="BF15" s="7"/>
      <c r="BG15" s="7"/>
      <c r="BH15" s="46">
        <f>IF(OR($G$4="MEDIA",$G$4="BASICA - TERCER CICLO"),ROUND(((BE15*$BE$11)+(BF15*$BF$11)+(BG15*$BG$11)*100)/30%,2),ROUND(((BE15*$BE$11)+(BF15*$BF$11)+(BG15*$BG$11)*100)/30%,2))</f>
        <v>0</v>
      </c>
      <c r="BI15" s="7"/>
      <c r="BJ15" s="14">
        <f>IF(OR($G$4="MEDIA",$G$4="BASICA - TERCER CICLO"),ROUND((BI15*$BI$11),2),ROUND((BI15*$BI$11),0))</f>
        <v>0</v>
      </c>
      <c r="BK15" s="47">
        <f>ROUND((AX15+BD15+BH15)/3,1)</f>
        <v>0</v>
      </c>
      <c r="BL15" s="7"/>
      <c r="BM15" s="7"/>
      <c r="BN15" s="7"/>
      <c r="BO15" s="7"/>
      <c r="BP15" s="7"/>
      <c r="BQ15" s="13">
        <f>IF(OR($G$4="MEDIA",$G$4="BASICA - TERCER CICLO"),ROUND(((BL15*$BL$11)+(BM15*$BM$11)+(BN15*$BN$11)+(BO15*$BO$11)+(BP15*$BP$11)*100)/35%,2),ROUND(((BL15*$BL$11)+(BM15*$BM$11)+(BN15*$BN$11)+(BO15*$BO$11)+(BP15*$BP$11)*100)/35%,2))</f>
        <v>0</v>
      </c>
      <c r="BR15" s="7"/>
      <c r="BS15" s="7"/>
      <c r="BT15" s="7"/>
      <c r="BU15" s="7"/>
      <c r="BV15" s="7"/>
      <c r="BW15" s="13">
        <f>IF(OR($G$4="MEDIA",$G$4="BASICA - TERCER CICLO"),ROUND(((BR15*$BR$11)+(BS15*$BS$11)+(BT15*$BT$11)+(BU15*$BU$11)+(BV15*$BV$11)*100)/35%,2),ROUND(((BR15*$BR$11)+(BS15*$BS$11)+(BT15*$BT$11)+(BU15*$BU$11)+(BV15*$BP$11)*100)/35%,2))</f>
        <v>0</v>
      </c>
      <c r="BX15" s="7"/>
      <c r="BY15" s="7"/>
      <c r="BZ15" s="7"/>
      <c r="CA15" s="13">
        <f>IF(OR($G$4="MEDIA",$G$4="BASICA - TERCER CICLO"),ROUND(((BX15*$BX$11)+(BY15*$BY$11)+(BZ15*$BZ$11)*100)/30%,2),ROUND(((BX15*$BX$11)+(BY15*$BY$11)+(BZ15*$BZ$11)*100)/30%,2))</f>
        <v>0</v>
      </c>
      <c r="CB15" s="7"/>
      <c r="CC15" s="14">
        <f>IF(OR($G$4="MEDIA",$G$4="BASICA - TERCER CICLO"),ROUND((CB15*$BI$11),2),ROUND((CB15*$BI$11),0))</f>
        <v>0</v>
      </c>
      <c r="CD15" s="28">
        <f>IF(OR($G$4="MEDIA",$G$4="BASICA - TERCER CICLO"),ROUND((BQ15+BW15+CA15+CC15),1),IF($G$4="BASICA",ROUND((BQ15+BW15+CA15+CC15),0),ROUND((BQ15+BW15+CA15+CC15),1)))</f>
        <v>0</v>
      </c>
      <c r="CE15" s="28">
        <f>IF($G$4 = "MEDIA",ROUND(((Y15+AR15+BK15+CD15)/4),0),ROUND(((Y15+AR15+BK15)/3),0))</f>
        <v>0</v>
      </c>
      <c r="CF15" s="20"/>
      <c r="CG15" s="28">
        <f>IF(AND(CE15&lt;5,$G$4="BASICA"),ROUND((CE15+CF15)/2,0),IF(AND(CE15&lt;6,$G$4="MEDIA"),ROUND((CE15+CF15)/2,0),CE15))</f>
        <v>0</v>
      </c>
      <c r="CH15" s="17" t="str">
        <f>IF($G$4="MEDIA",IF(CG15&gt;=6,"Aprobado","Reprobado"),IF(CG15&gt;=5,"Aprobado","Reprobado"))</f>
        <v>Reprobado</v>
      </c>
    </row>
    <row r="16" spans="1:86" customHeight="1" ht="20.25">
      <c r="A16" s="41">
        <v>4</v>
      </c>
      <c r="B16" s="3">
        <v>10312660</v>
      </c>
      <c r="C16" s="3">
        <v>5481</v>
      </c>
      <c r="D16" s="3">
        <v>26950</v>
      </c>
      <c r="E16" s="3" t="s">
        <v>41</v>
      </c>
      <c r="F16" s="42" t="s">
        <v>39</v>
      </c>
      <c r="G16" s="32"/>
      <c r="H16" s="12"/>
      <c r="I16" s="12"/>
      <c r="J16" s="12"/>
      <c r="K16" s="12"/>
      <c r="L16" s="46">
        <f>IF(OR($G$4="MEDIA",$G$4="BASICA - TERCER CICLO"),ROUND(((G16*$G$11)+(H16*$H$11)+(I16*$I$11)+(J16*$J$11)+(K16*$K$11)*100)/35%,2),ROUND((G16*$G$11)+(H16*$H$11)+(I16*$I$11)+(J16*$J$11)+(K16*$K$11),2))</f>
        <v>0</v>
      </c>
      <c r="M16" s="12"/>
      <c r="N16" s="12"/>
      <c r="O16" s="12"/>
      <c r="P16" s="12"/>
      <c r="Q16" s="12"/>
      <c r="R16" s="46">
        <f>IF(OR($G$4="MEDIA",$G$4="BASICA - TERCER CICLO"),ROUND(((M16*$M$11)+(N16*$N$11)+(O16*$O$11)+(P16*$P$11)+(Q16*$Q$11)*100)/35%,2),ROUND((M16*$M$11)+(N16*$N$11)+(O16*$O$11)+(P16*$P$11)+(Q16*$Q$11),2))</f>
        <v>0</v>
      </c>
      <c r="S16" s="12"/>
      <c r="T16" s="12"/>
      <c r="U16" s="12"/>
      <c r="V16" s="13">
        <f>IF(OR($G$4="MEDIA",$G$4="BASICA - TERCER CICLO"),ROUND(((S16*$S$11)+(T16*$T$11)+(U16*$U$11)*100)/30%,2),ROUND(((S16*$S$11)+(T16*$T$11)+(U16*$U$11)*100)/30%,2))</f>
        <v>0</v>
      </c>
      <c r="W16" s="12"/>
      <c r="X16" s="14">
        <f>IF(OR($G$4="MEDIA",$G$4="BASICA - TERCER CICLO"),ROUND((W16*$W$11),2),ROUND((W16*$W$11),0))</f>
        <v>0</v>
      </c>
      <c r="Y16" s="47">
        <f>ROUND((L16+R16+V16)/3,1)</f>
        <v>0</v>
      </c>
      <c r="Z16" s="12"/>
      <c r="AA16" s="12"/>
      <c r="AB16" s="12"/>
      <c r="AC16" s="12"/>
      <c r="AD16" s="12"/>
      <c r="AE16" s="46">
        <f>IF(OR($G$4="MEDIA",$G$4="BASICA - TERCER CICLO"),ROUND(((Z16*$Z$11)+(AA16*$AA$11)+(AB16*$AB$11)+(AC16*$AC$11)+(AD16*$AD$11)*100)/35%,2),ROUND((Z16*$Z$11)+(AA16*$AA$11)+(AB16*$AB$11)+(AC16*$AC$11)+(AD16*$AD$11),2))</f>
        <v>0</v>
      </c>
      <c r="AF16" s="12"/>
      <c r="AG16" s="12"/>
      <c r="AH16" s="12"/>
      <c r="AI16" s="12"/>
      <c r="AJ16" s="12"/>
      <c r="AK16" s="46">
        <f>IF(OR($G$4="MEDIA",$G$4="BASICA - TERCER CICLO"),ROUND(((AF16*$AF$11)+(AG16*$AG$11)+(AH16*$AH$11)+(AI16*$AI$11)+(AJ16*$AJ$11)*100)/35%,2),ROUND((AF16*$AF$11)+(AG16*$AG$11)+(AH16*$AH$11)+(AI16*$AI$11)+(AJ16*$AJ$11),2))</f>
        <v>0</v>
      </c>
      <c r="AL16" s="12"/>
      <c r="AM16" s="12"/>
      <c r="AN16" s="12"/>
      <c r="AO16" s="46">
        <f>IF(OR($G$4="MEDIA",$G$4="BASICA - TERCER CICLO"),ROUND(((AL16*$AL$11)+(AM16*$AM$11)+(AN16*$AN$11)*100)/30%,2),ROUND(((AL16*$AL$11)+(AM16*$AM$11)+(AN16*$AN$11)*100)/30%,2))</f>
        <v>0</v>
      </c>
      <c r="AP16" s="12"/>
      <c r="AQ16" s="14">
        <f>IF(OR($G$4="MEDIA",$G$4="BASICA - TERCER CICLO"),ROUND((AP16*$AP$11),2),ROUND((AP16*$AP$11),0))</f>
        <v>0</v>
      </c>
      <c r="AR16" s="47">
        <f>ROUND((AE16+AK16+AO16)/3,1)</f>
        <v>0</v>
      </c>
      <c r="AS16" s="12"/>
      <c r="AT16" s="12"/>
      <c r="AU16" s="12"/>
      <c r="AV16" s="12"/>
      <c r="AW16" s="12"/>
      <c r="AX16" s="46">
        <f>IF(OR($G$4="MEDIA",$G$4="BASICA - TERCER CICLO"),ROUND(((AS16*$AS$11)+(AT16*$AT$11)+(AU16*$AU$11)+(AV16*$AV$11)+(AW16*$AW$11)*100)/35%,2),ROUND((AS16*$AS$11)+(AT16*$AT$11)+(AU16*$AU$11)+(AV16*$AV$11)+(AW16*$AW$11),2))</f>
        <v>0</v>
      </c>
      <c r="AY16" s="12"/>
      <c r="AZ16" s="12"/>
      <c r="BA16" s="12"/>
      <c r="BB16" s="12"/>
      <c r="BC16" s="12"/>
      <c r="BD16" s="46">
        <f>IF(OR($G$4="MEDIA",$G$4="BASICA - TERCER CICLO"),ROUND(((AY16*$AY$11)+(AZ16*$AZ$11)+(BA16*$BA$11)+(BB16*$BB$11)+(BC16*$BC$11)*100)/35%,2),ROUND((AY16*$AY$11)+(AZ16*$AZ$11)+(BA16*$BA$11)+(BB16*$BB$11)+(BC16*$BC$11),2))</f>
        <v>0</v>
      </c>
      <c r="BE16" s="12"/>
      <c r="BF16" s="12"/>
      <c r="BG16" s="12"/>
      <c r="BH16" s="46">
        <f>IF(OR($G$4="MEDIA",$G$4="BASICA - TERCER CICLO"),ROUND(((BE16*$BE$11)+(BF16*$BF$11)+(BG16*$BG$11)*100)/30%,2),ROUND(((BE16*$BE$11)+(BF16*$BF$11)+(BG16*$BG$11)*100)/30%,2))</f>
        <v>0</v>
      </c>
      <c r="BI16" s="12"/>
      <c r="BJ16" s="14">
        <f>IF(OR($G$4="MEDIA",$G$4="BASICA - TERCER CICLO"),ROUND((BI16*$BI$11),2),ROUND((BI16*$BI$11),0))</f>
        <v>0</v>
      </c>
      <c r="BK16" s="47">
        <f>ROUND((AX16+BD16+BH16)/3,1)</f>
        <v>0</v>
      </c>
      <c r="BL16" s="12"/>
      <c r="BM16" s="12"/>
      <c r="BN16" s="12"/>
      <c r="BO16" s="12"/>
      <c r="BP16" s="12"/>
      <c r="BQ16" s="13">
        <f>IF(OR($G$4="MEDIA",$G$4="BASICA - TERCER CICLO"),ROUND(((BL16*$BL$11)+(BM16*$BM$11)+(BN16*$BN$11)+(BO16*$BO$11)+(BP16*$BP$11)*100)/35%,2),ROUND(((BL16*$BL$11)+(BM16*$BM$11)+(BN16*$BN$11)+(BO16*$BO$11)+(BP16*$BP$11)*100)/35%,2))</f>
        <v>0</v>
      </c>
      <c r="BR16" s="12"/>
      <c r="BS16" s="12"/>
      <c r="BT16" s="12"/>
      <c r="BU16" s="12"/>
      <c r="BV16" s="12"/>
      <c r="BW16" s="13">
        <f>IF(OR($G$4="MEDIA",$G$4="BASICA - TERCER CICLO"),ROUND(((BR16*$BR$11)+(BS16*$BS$11)+(BT16*$BT$11)+(BU16*$BU$11)+(BV16*$BV$11)*100)/35%,2),ROUND(((BR16*$BR$11)+(BS16*$BS$11)+(BT16*$BT$11)+(BU16*$BU$11)+(BV16*$BP$11)*100)/35%,2))</f>
        <v>0</v>
      </c>
      <c r="BX16" s="12"/>
      <c r="BY16" s="12"/>
      <c r="BZ16" s="12"/>
      <c r="CA16" s="13">
        <f>IF(OR($G$4="MEDIA",$G$4="BASICA - TERCER CICLO"),ROUND(((BX16*$BX$11)+(BY16*$BY$11)+(BZ16*$BZ$11)*100)/30%,2),ROUND(((BX16*$BX$11)+(BY16*$BY$11)+(BZ16*$BZ$11)*100)/30%,2))</f>
        <v>0</v>
      </c>
      <c r="CB16" s="12"/>
      <c r="CC16" s="14">
        <f>IF(OR($G$4="MEDIA",$G$4="BASICA - TERCER CICLO"),ROUND((CB16*$BI$11),2),ROUND((CB16*$BI$11),0))</f>
        <v>0</v>
      </c>
      <c r="CD16" s="28">
        <f>IF(OR($G$4="MEDIA",$G$4="BASICA - TERCER CICLO"),ROUND((BQ16+BW16+CA16+CC16),1),IF($G$4="BASICA",ROUND((BQ16+BW16+CA16+CC16),0),ROUND((BQ16+BW16+CA16+CC16),1)))</f>
        <v>0</v>
      </c>
      <c r="CE16" s="28">
        <f>IF($G$4 = "MEDIA",ROUND(((Y16+AR16+BK16+CD16)/4),0),ROUND(((Y16+AR16+BK16)/3),0))</f>
        <v>0</v>
      </c>
      <c r="CF16" s="21"/>
      <c r="CG16" s="28">
        <f>IF(AND(CE16&lt;5,$G$4="BASICA"),ROUND((CE16+CF16)/2,0),IF(AND(CE16&lt;6,$G$4="MEDIA"),ROUND((CE16+CF16)/2,0),CE16))</f>
        <v>0</v>
      </c>
      <c r="CH16" s="16" t="str">
        <f>IF($G$4="MEDIA",IF(CG16&gt;=6,"Aprobado","Reprobado"),IF(CG16&gt;=5,"Aprobado","Reprobado"))</f>
        <v>Reprobado</v>
      </c>
    </row>
    <row r="17" spans="1:86" customHeight="1" ht="20.25">
      <c r="A17" s="39">
        <v>5</v>
      </c>
      <c r="B17" s="2">
        <v>10292076</v>
      </c>
      <c r="C17" s="2">
        <v>4740</v>
      </c>
      <c r="D17" s="2">
        <v>26951</v>
      </c>
      <c r="E17" s="2" t="s">
        <v>42</v>
      </c>
      <c r="F17" s="40" t="s">
        <v>37</v>
      </c>
      <c r="G17" s="31"/>
      <c r="H17" s="7"/>
      <c r="I17" s="7"/>
      <c r="J17" s="7"/>
      <c r="K17" s="7"/>
      <c r="L17" s="46">
        <f>IF(OR($G$4="MEDIA",$G$4="BASICA - TERCER CICLO"),ROUND(((G17*$G$11)+(H17*$H$11)+(I17*$I$11)+(J17*$J$11)+(K17*$K$11)*100)/35%,2),ROUND((G17*$G$11)+(H17*$H$11)+(I17*$I$11)+(J17*$J$11)+(K17*$K$11),2))</f>
        <v>0</v>
      </c>
      <c r="M17" s="7"/>
      <c r="N17" s="7"/>
      <c r="O17" s="7"/>
      <c r="P17" s="7"/>
      <c r="Q17" s="7"/>
      <c r="R17" s="46">
        <f>IF(OR($G$4="MEDIA",$G$4="BASICA - TERCER CICLO"),ROUND(((M17*$M$11)+(N17*$N$11)+(O17*$O$11)+(P17*$P$11)+(Q17*$Q$11)*100)/35%,2),ROUND((M17*$M$11)+(N17*$N$11)+(O17*$O$11)+(P17*$P$11)+(Q17*$Q$11),2))</f>
        <v>0</v>
      </c>
      <c r="S17" s="7"/>
      <c r="T17" s="7"/>
      <c r="U17" s="7"/>
      <c r="V17" s="13">
        <f>IF(OR($G$4="MEDIA",$G$4="BASICA - TERCER CICLO"),ROUND(((S17*$S$11)+(T17*$T$11)+(U17*$U$11)*100)/30%,2),ROUND(((S17*$S$11)+(T17*$T$11)+(U17*$U$11)*100)/30%,2))</f>
        <v>0</v>
      </c>
      <c r="W17" s="7"/>
      <c r="X17" s="14">
        <f>IF(OR($G$4="MEDIA",$G$4="BASICA - TERCER CICLO"),ROUND((W17*$W$11),2),ROUND((W17*$W$11),0))</f>
        <v>0</v>
      </c>
      <c r="Y17" s="47">
        <f>ROUND((L17+R17+V17)/3,1)</f>
        <v>0</v>
      </c>
      <c r="Z17" s="7"/>
      <c r="AA17" s="7"/>
      <c r="AB17" s="7"/>
      <c r="AC17" s="7"/>
      <c r="AD17" s="7"/>
      <c r="AE17" s="46">
        <f>IF(OR($G$4="MEDIA",$G$4="BASICA - TERCER CICLO"),ROUND(((Z17*$Z$11)+(AA17*$AA$11)+(AB17*$AB$11)+(AC17*$AC$11)+(AD17*$AD$11)*100)/35%,2),ROUND((Z17*$Z$11)+(AA17*$AA$11)+(AB17*$AB$11)+(AC17*$AC$11)+(AD17*$AD$11),2))</f>
        <v>0</v>
      </c>
      <c r="AF17" s="7"/>
      <c r="AG17" s="7"/>
      <c r="AH17" s="7"/>
      <c r="AI17" s="7"/>
      <c r="AJ17" s="7"/>
      <c r="AK17" s="46">
        <f>IF(OR($G$4="MEDIA",$G$4="BASICA - TERCER CICLO"),ROUND(((AF17*$AF$11)+(AG17*$AG$11)+(AH17*$AH$11)+(AI17*$AI$11)+(AJ17*$AJ$11)*100)/35%,2),ROUND((AF17*$AF$11)+(AG17*$AG$11)+(AH17*$AH$11)+(AI17*$AI$11)+(AJ17*$AJ$11),2))</f>
        <v>0</v>
      </c>
      <c r="AL17" s="7"/>
      <c r="AM17" s="7"/>
      <c r="AN17" s="7"/>
      <c r="AO17" s="46">
        <f>IF(OR($G$4="MEDIA",$G$4="BASICA - TERCER CICLO"),ROUND(((AL17*$AL$11)+(AM17*$AM$11)+(AN17*$AN$11)*100)/30%,2),ROUND(((AL17*$AL$11)+(AM17*$AM$11)+(AN17*$AN$11)*100)/30%,2))</f>
        <v>0</v>
      </c>
      <c r="AP17" s="7"/>
      <c r="AQ17" s="14">
        <f>IF(OR($G$4="MEDIA",$G$4="BASICA - TERCER CICLO"),ROUND((AP17*$AP$11),2),ROUND((AP17*$AP$11),0))</f>
        <v>0</v>
      </c>
      <c r="AR17" s="47">
        <f>ROUND((AE17+AK17+AO17)/3,1)</f>
        <v>0</v>
      </c>
      <c r="AS17" s="7"/>
      <c r="AT17" s="7"/>
      <c r="AU17" s="7"/>
      <c r="AV17" s="7"/>
      <c r="AW17" s="7"/>
      <c r="AX17" s="46">
        <f>IF(OR($G$4="MEDIA",$G$4="BASICA - TERCER CICLO"),ROUND(((AS17*$AS$11)+(AT17*$AT$11)+(AU17*$AU$11)+(AV17*$AV$11)+(AW17*$AW$11)*100)/35%,2),ROUND((AS17*$AS$11)+(AT17*$AT$11)+(AU17*$AU$11)+(AV17*$AV$11)+(AW17*$AW$11),2))</f>
        <v>0</v>
      </c>
      <c r="AY17" s="7"/>
      <c r="AZ17" s="7"/>
      <c r="BA17" s="7"/>
      <c r="BB17" s="7"/>
      <c r="BC17" s="7"/>
      <c r="BD17" s="46">
        <f>IF(OR($G$4="MEDIA",$G$4="BASICA - TERCER CICLO"),ROUND(((AY17*$AY$11)+(AZ17*$AZ$11)+(BA17*$BA$11)+(BB17*$BB$11)+(BC17*$BC$11)*100)/35%,2),ROUND((AY17*$AY$11)+(AZ17*$AZ$11)+(BA17*$BA$11)+(BB17*$BB$11)+(BC17*$BC$11),2))</f>
        <v>0</v>
      </c>
      <c r="BE17" s="7"/>
      <c r="BF17" s="7"/>
      <c r="BG17" s="7"/>
      <c r="BH17" s="46">
        <f>IF(OR($G$4="MEDIA",$G$4="BASICA - TERCER CICLO"),ROUND(((BE17*$BE$11)+(BF17*$BF$11)+(BG17*$BG$11)*100)/30%,2),ROUND(((BE17*$BE$11)+(BF17*$BF$11)+(BG17*$BG$11)*100)/30%,2))</f>
        <v>0</v>
      </c>
      <c r="BI17" s="7"/>
      <c r="BJ17" s="14">
        <f>IF(OR($G$4="MEDIA",$G$4="BASICA - TERCER CICLO"),ROUND((BI17*$BI$11),2),ROUND((BI17*$BI$11),0))</f>
        <v>0</v>
      </c>
      <c r="BK17" s="47">
        <f>ROUND((AX17+BD17+BH17)/3,1)</f>
        <v>0</v>
      </c>
      <c r="BL17" s="7"/>
      <c r="BM17" s="7"/>
      <c r="BN17" s="7"/>
      <c r="BO17" s="7"/>
      <c r="BP17" s="7"/>
      <c r="BQ17" s="13">
        <f>IF(OR($G$4="MEDIA",$G$4="BASICA - TERCER CICLO"),ROUND(((BL17*$BL$11)+(BM17*$BM$11)+(BN17*$BN$11)+(BO17*$BO$11)+(BP17*$BP$11)*100)/35%,2),ROUND(((BL17*$BL$11)+(BM17*$BM$11)+(BN17*$BN$11)+(BO17*$BO$11)+(BP17*$BP$11)*100)/35%,2))</f>
        <v>0</v>
      </c>
      <c r="BR17" s="7"/>
      <c r="BS17" s="7"/>
      <c r="BT17" s="7"/>
      <c r="BU17" s="7"/>
      <c r="BV17" s="7"/>
      <c r="BW17" s="13">
        <f>IF(OR($G$4="MEDIA",$G$4="BASICA - TERCER CICLO"),ROUND(((BR17*$BR$11)+(BS17*$BS$11)+(BT17*$BT$11)+(BU17*$BU$11)+(BV17*$BV$11)*100)/35%,2),ROUND(((BR17*$BR$11)+(BS17*$BS$11)+(BT17*$BT$11)+(BU17*$BU$11)+(BV17*$BP$11)*100)/35%,2))</f>
        <v>0</v>
      </c>
      <c r="BX17" s="7"/>
      <c r="BY17" s="7"/>
      <c r="BZ17" s="7"/>
      <c r="CA17" s="13">
        <f>IF(OR($G$4="MEDIA",$G$4="BASICA - TERCER CICLO"),ROUND(((BX17*$BX$11)+(BY17*$BY$11)+(BZ17*$BZ$11)*100)/30%,2),ROUND(((BX17*$BX$11)+(BY17*$BY$11)+(BZ17*$BZ$11)*100)/30%,2))</f>
        <v>0</v>
      </c>
      <c r="CB17" s="7"/>
      <c r="CC17" s="14">
        <f>IF(OR($G$4="MEDIA",$G$4="BASICA - TERCER CICLO"),ROUND((CB17*$BI$11),2),ROUND((CB17*$BI$11),0))</f>
        <v>0</v>
      </c>
      <c r="CD17" s="28">
        <f>IF(OR($G$4="MEDIA",$G$4="BASICA - TERCER CICLO"),ROUND((BQ17+BW17+CA17+CC17),1),IF($G$4="BASICA",ROUND((BQ17+BW17+CA17+CC17),0),ROUND((BQ17+BW17+CA17+CC17),1)))</f>
        <v>0</v>
      </c>
      <c r="CE17" s="28">
        <f>IF($G$4 = "MEDIA",ROUND(((Y17+AR17+BK17+CD17)/4),0),ROUND(((Y17+AR17+BK17)/3),0))</f>
        <v>0</v>
      </c>
      <c r="CF17" s="20"/>
      <c r="CG17" s="28">
        <f>IF(AND(CE17&lt;5,$G$4="BASICA"),ROUND((CE17+CF17)/2,0),IF(AND(CE17&lt;6,$G$4="MEDIA"),ROUND((CE17+CF17)/2,0),CE17))</f>
        <v>0</v>
      </c>
      <c r="CH17" s="17" t="str">
        <f>IF($G$4="MEDIA",IF(CG17&gt;=6,"Aprobado","Reprobado"),IF(CG17&gt;=5,"Aprobado","Reprobado"))</f>
        <v>Reprobado</v>
      </c>
    </row>
    <row r="18" spans="1:86" customHeight="1" ht="20.25">
      <c r="A18" s="41">
        <v>6</v>
      </c>
      <c r="B18" s="3">
        <v>10282512</v>
      </c>
      <c r="C18" s="3">
        <v>4386</v>
      </c>
      <c r="D18" s="3">
        <v>26994</v>
      </c>
      <c r="E18" s="3" t="s">
        <v>43</v>
      </c>
      <c r="F18" s="42" t="s">
        <v>37</v>
      </c>
      <c r="G18" s="32"/>
      <c r="H18" s="12"/>
      <c r="I18" s="12"/>
      <c r="J18" s="12"/>
      <c r="K18" s="12"/>
      <c r="L18" s="46">
        <f>IF(OR($G$4="MEDIA",$G$4="BASICA - TERCER CICLO"),ROUND(((G18*$G$11)+(H18*$H$11)+(I18*$I$11)+(J18*$J$11)+(K18*$K$11)*100)/35%,2),ROUND((G18*$G$11)+(H18*$H$11)+(I18*$I$11)+(J18*$J$11)+(K18*$K$11),2))</f>
        <v>0</v>
      </c>
      <c r="M18" s="12"/>
      <c r="N18" s="12"/>
      <c r="O18" s="12"/>
      <c r="P18" s="12"/>
      <c r="Q18" s="12"/>
      <c r="R18" s="46">
        <f>IF(OR($G$4="MEDIA",$G$4="BASICA - TERCER CICLO"),ROUND(((M18*$M$11)+(N18*$N$11)+(O18*$O$11)+(P18*$P$11)+(Q18*$Q$11)*100)/35%,2),ROUND((M18*$M$11)+(N18*$N$11)+(O18*$O$11)+(P18*$P$11)+(Q18*$Q$11),2))</f>
        <v>0</v>
      </c>
      <c r="S18" s="12"/>
      <c r="T18" s="12"/>
      <c r="U18" s="12"/>
      <c r="V18" s="13">
        <f>IF(OR($G$4="MEDIA",$G$4="BASICA - TERCER CICLO"),ROUND(((S18*$S$11)+(T18*$T$11)+(U18*$U$11)*100)/30%,2),ROUND(((S18*$S$11)+(T18*$T$11)+(U18*$U$11)*100)/30%,2))</f>
        <v>0</v>
      </c>
      <c r="W18" s="12"/>
      <c r="X18" s="14">
        <f>IF(OR($G$4="MEDIA",$G$4="BASICA - TERCER CICLO"),ROUND((W18*$W$11),2),ROUND((W18*$W$11),0))</f>
        <v>0</v>
      </c>
      <c r="Y18" s="47">
        <f>ROUND((L18+R18+V18)/3,1)</f>
        <v>0</v>
      </c>
      <c r="Z18" s="12"/>
      <c r="AA18" s="12"/>
      <c r="AB18" s="12"/>
      <c r="AC18" s="12"/>
      <c r="AD18" s="12"/>
      <c r="AE18" s="46">
        <f>IF(OR($G$4="MEDIA",$G$4="BASICA - TERCER CICLO"),ROUND(((Z18*$Z$11)+(AA18*$AA$11)+(AB18*$AB$11)+(AC18*$AC$11)+(AD18*$AD$11)*100)/35%,2),ROUND((Z18*$Z$11)+(AA18*$AA$11)+(AB18*$AB$11)+(AC18*$AC$11)+(AD18*$AD$11),2))</f>
        <v>0</v>
      </c>
      <c r="AF18" s="12"/>
      <c r="AG18" s="12"/>
      <c r="AH18" s="12"/>
      <c r="AI18" s="12"/>
      <c r="AJ18" s="12"/>
      <c r="AK18" s="46">
        <f>IF(OR($G$4="MEDIA",$G$4="BASICA - TERCER CICLO"),ROUND(((AF18*$AF$11)+(AG18*$AG$11)+(AH18*$AH$11)+(AI18*$AI$11)+(AJ18*$AJ$11)*100)/35%,2),ROUND((AF18*$AF$11)+(AG18*$AG$11)+(AH18*$AH$11)+(AI18*$AI$11)+(AJ18*$AJ$11),2))</f>
        <v>0</v>
      </c>
      <c r="AL18" s="12"/>
      <c r="AM18" s="12"/>
      <c r="AN18" s="12"/>
      <c r="AO18" s="46">
        <f>IF(OR($G$4="MEDIA",$G$4="BASICA - TERCER CICLO"),ROUND(((AL18*$AL$11)+(AM18*$AM$11)+(AN18*$AN$11)*100)/30%,2),ROUND(((AL18*$AL$11)+(AM18*$AM$11)+(AN18*$AN$11)*100)/30%,2))</f>
        <v>0</v>
      </c>
      <c r="AP18" s="12"/>
      <c r="AQ18" s="14">
        <f>IF(OR($G$4="MEDIA",$G$4="BASICA - TERCER CICLO"),ROUND((AP18*$AP$11),2),ROUND((AP18*$AP$11),0))</f>
        <v>0</v>
      </c>
      <c r="AR18" s="47">
        <f>ROUND((AE18+AK18+AO18)/3,1)</f>
        <v>0</v>
      </c>
      <c r="AS18" s="12"/>
      <c r="AT18" s="12"/>
      <c r="AU18" s="12"/>
      <c r="AV18" s="12"/>
      <c r="AW18" s="12"/>
      <c r="AX18" s="46">
        <f>IF(OR($G$4="MEDIA",$G$4="BASICA - TERCER CICLO"),ROUND(((AS18*$AS$11)+(AT18*$AT$11)+(AU18*$AU$11)+(AV18*$AV$11)+(AW18*$AW$11)*100)/35%,2),ROUND((AS18*$AS$11)+(AT18*$AT$11)+(AU18*$AU$11)+(AV18*$AV$11)+(AW18*$AW$11),2))</f>
        <v>0</v>
      </c>
      <c r="AY18" s="12"/>
      <c r="AZ18" s="12"/>
      <c r="BA18" s="12"/>
      <c r="BB18" s="12"/>
      <c r="BC18" s="12"/>
      <c r="BD18" s="46">
        <f>IF(OR($G$4="MEDIA",$G$4="BASICA - TERCER CICLO"),ROUND(((AY18*$AY$11)+(AZ18*$AZ$11)+(BA18*$BA$11)+(BB18*$BB$11)+(BC18*$BC$11)*100)/35%,2),ROUND((AY18*$AY$11)+(AZ18*$AZ$11)+(BA18*$BA$11)+(BB18*$BB$11)+(BC18*$BC$11),2))</f>
        <v>0</v>
      </c>
      <c r="BE18" s="12"/>
      <c r="BF18" s="12"/>
      <c r="BG18" s="12"/>
      <c r="BH18" s="46">
        <f>IF(OR($G$4="MEDIA",$G$4="BASICA - TERCER CICLO"),ROUND(((BE18*$BE$11)+(BF18*$BF$11)+(BG18*$BG$11)*100)/30%,2),ROUND(((BE18*$BE$11)+(BF18*$BF$11)+(BG18*$BG$11)*100)/30%,2))</f>
        <v>0</v>
      </c>
      <c r="BI18" s="12"/>
      <c r="BJ18" s="14">
        <f>IF(OR($G$4="MEDIA",$G$4="BASICA - TERCER CICLO"),ROUND((BI18*$BI$11),2),ROUND((BI18*$BI$11),0))</f>
        <v>0</v>
      </c>
      <c r="BK18" s="47">
        <f>ROUND((AX18+BD18+BH18)/3,1)</f>
        <v>0</v>
      </c>
      <c r="BL18" s="12"/>
      <c r="BM18" s="12"/>
      <c r="BN18" s="12"/>
      <c r="BO18" s="12"/>
      <c r="BP18" s="12"/>
      <c r="BQ18" s="13">
        <f>IF(OR($G$4="MEDIA",$G$4="BASICA - TERCER CICLO"),ROUND(((BL18*$BL$11)+(BM18*$BM$11)+(BN18*$BN$11)+(BO18*$BO$11)+(BP18*$BP$11)*100)/35%,2),ROUND(((BL18*$BL$11)+(BM18*$BM$11)+(BN18*$BN$11)+(BO18*$BO$11)+(BP18*$BP$11)*100)/35%,2))</f>
        <v>0</v>
      </c>
      <c r="BR18" s="12"/>
      <c r="BS18" s="12"/>
      <c r="BT18" s="12"/>
      <c r="BU18" s="12"/>
      <c r="BV18" s="12"/>
      <c r="BW18" s="13">
        <f>IF(OR($G$4="MEDIA",$G$4="BASICA - TERCER CICLO"),ROUND(((BR18*$BR$11)+(BS18*$BS$11)+(BT18*$BT$11)+(BU18*$BU$11)+(BV18*$BV$11)*100)/35%,2),ROUND(((BR18*$BR$11)+(BS18*$BS$11)+(BT18*$BT$11)+(BU18*$BU$11)+(BV18*$BP$11)*100)/35%,2))</f>
        <v>0</v>
      </c>
      <c r="BX18" s="12"/>
      <c r="BY18" s="12"/>
      <c r="BZ18" s="12"/>
      <c r="CA18" s="13">
        <f>IF(OR($G$4="MEDIA",$G$4="BASICA - TERCER CICLO"),ROUND(((BX18*$BX$11)+(BY18*$BY$11)+(BZ18*$BZ$11)*100)/30%,2),ROUND(((BX18*$BX$11)+(BY18*$BY$11)+(BZ18*$BZ$11)*100)/30%,2))</f>
        <v>0</v>
      </c>
      <c r="CB18" s="12"/>
      <c r="CC18" s="14">
        <f>IF(OR($G$4="MEDIA",$G$4="BASICA - TERCER CICLO"),ROUND((CB18*$BI$11),2),ROUND((CB18*$BI$11),0))</f>
        <v>0</v>
      </c>
      <c r="CD18" s="28">
        <f>IF(OR($G$4="MEDIA",$G$4="BASICA - TERCER CICLO"),ROUND((BQ18+BW18+CA18+CC18),1),IF($G$4="BASICA",ROUND((BQ18+BW18+CA18+CC18),0),ROUND((BQ18+BW18+CA18+CC18),1)))</f>
        <v>0</v>
      </c>
      <c r="CE18" s="28">
        <f>IF($G$4 = "MEDIA",ROUND(((Y18+AR18+BK18+CD18)/4),0),ROUND(((Y18+AR18+BK18)/3),0))</f>
        <v>0</v>
      </c>
      <c r="CF18" s="21"/>
      <c r="CG18" s="28">
        <f>IF(AND(CE18&lt;5,$G$4="BASICA"),ROUND((CE18+CF18)/2,0),IF(AND(CE18&lt;6,$G$4="MEDIA"),ROUND((CE18+CF18)/2,0),CE18))</f>
        <v>0</v>
      </c>
      <c r="CH18" s="16" t="str">
        <f>IF($G$4="MEDIA",IF(CG18&gt;=6,"Aprobado","Reprobado"),IF(CG18&gt;=5,"Aprobado","Reprobado"))</f>
        <v>Reprobado</v>
      </c>
    </row>
    <row r="19" spans="1:86" customHeight="1" ht="20.25">
      <c r="A19" s="39">
        <v>7</v>
      </c>
      <c r="B19" s="2">
        <v>10112477</v>
      </c>
      <c r="C19" s="2">
        <v>5167</v>
      </c>
      <c r="D19" s="2">
        <v>26953</v>
      </c>
      <c r="E19" s="2" t="s">
        <v>44</v>
      </c>
      <c r="F19" s="40" t="s">
        <v>37</v>
      </c>
      <c r="G19" s="31"/>
      <c r="H19" s="7"/>
      <c r="I19" s="7"/>
      <c r="J19" s="7"/>
      <c r="K19" s="7"/>
      <c r="L19" s="46">
        <f>IF(OR($G$4="MEDIA",$G$4="BASICA - TERCER CICLO"),ROUND(((G19*$G$11)+(H19*$H$11)+(I19*$I$11)+(J19*$J$11)+(K19*$K$11)*100)/35%,2),ROUND((G19*$G$11)+(H19*$H$11)+(I19*$I$11)+(J19*$J$11)+(K19*$K$11),2))</f>
        <v>0</v>
      </c>
      <c r="M19" s="7"/>
      <c r="N19" s="7"/>
      <c r="O19" s="7"/>
      <c r="P19" s="7"/>
      <c r="Q19" s="7"/>
      <c r="R19" s="46">
        <f>IF(OR($G$4="MEDIA",$G$4="BASICA - TERCER CICLO"),ROUND(((M19*$M$11)+(N19*$N$11)+(O19*$O$11)+(P19*$P$11)+(Q19*$Q$11)*100)/35%,2),ROUND((M19*$M$11)+(N19*$N$11)+(O19*$O$11)+(P19*$P$11)+(Q19*$Q$11),2))</f>
        <v>0</v>
      </c>
      <c r="S19" s="7"/>
      <c r="T19" s="7"/>
      <c r="U19" s="7"/>
      <c r="V19" s="13">
        <f>IF(OR($G$4="MEDIA",$G$4="BASICA - TERCER CICLO"),ROUND(((S19*$S$11)+(T19*$T$11)+(U19*$U$11)*100)/30%,2),ROUND(((S19*$S$11)+(T19*$T$11)+(U19*$U$11)*100)/30%,2))</f>
        <v>0</v>
      </c>
      <c r="W19" s="7"/>
      <c r="X19" s="14">
        <f>IF(OR($G$4="MEDIA",$G$4="BASICA - TERCER CICLO"),ROUND((W19*$W$11),2),ROUND((W19*$W$11),0))</f>
        <v>0</v>
      </c>
      <c r="Y19" s="47">
        <f>ROUND((L19+R19+V19)/3,1)</f>
        <v>0</v>
      </c>
      <c r="Z19" s="7"/>
      <c r="AA19" s="7"/>
      <c r="AB19" s="7"/>
      <c r="AC19" s="7"/>
      <c r="AD19" s="7"/>
      <c r="AE19" s="46">
        <f>IF(OR($G$4="MEDIA",$G$4="BASICA - TERCER CICLO"),ROUND(((Z19*$Z$11)+(AA19*$AA$11)+(AB19*$AB$11)+(AC19*$AC$11)+(AD19*$AD$11)*100)/35%,2),ROUND((Z19*$Z$11)+(AA19*$AA$11)+(AB19*$AB$11)+(AC19*$AC$11)+(AD19*$AD$11),2))</f>
        <v>0</v>
      </c>
      <c r="AF19" s="7"/>
      <c r="AG19" s="7"/>
      <c r="AH19" s="7"/>
      <c r="AI19" s="7"/>
      <c r="AJ19" s="7"/>
      <c r="AK19" s="46">
        <f>IF(OR($G$4="MEDIA",$G$4="BASICA - TERCER CICLO"),ROUND(((AF19*$AF$11)+(AG19*$AG$11)+(AH19*$AH$11)+(AI19*$AI$11)+(AJ19*$AJ$11)*100)/35%,2),ROUND((AF19*$AF$11)+(AG19*$AG$11)+(AH19*$AH$11)+(AI19*$AI$11)+(AJ19*$AJ$11),2))</f>
        <v>0</v>
      </c>
      <c r="AL19" s="7"/>
      <c r="AM19" s="7"/>
      <c r="AN19" s="7"/>
      <c r="AO19" s="46">
        <f>IF(OR($G$4="MEDIA",$G$4="BASICA - TERCER CICLO"),ROUND(((AL19*$AL$11)+(AM19*$AM$11)+(AN19*$AN$11)*100)/30%,2),ROUND(((AL19*$AL$11)+(AM19*$AM$11)+(AN19*$AN$11)*100)/30%,2))</f>
        <v>0</v>
      </c>
      <c r="AP19" s="7"/>
      <c r="AQ19" s="14">
        <f>IF(OR($G$4="MEDIA",$G$4="BASICA - TERCER CICLO"),ROUND((AP19*$AP$11),2),ROUND((AP19*$AP$11),0))</f>
        <v>0</v>
      </c>
      <c r="AR19" s="47">
        <f>ROUND((AE19+AK19+AO19)/3,1)</f>
        <v>0</v>
      </c>
      <c r="AS19" s="7"/>
      <c r="AT19" s="7"/>
      <c r="AU19" s="7"/>
      <c r="AV19" s="7"/>
      <c r="AW19" s="7"/>
      <c r="AX19" s="46">
        <f>IF(OR($G$4="MEDIA",$G$4="BASICA - TERCER CICLO"),ROUND(((AS19*$AS$11)+(AT19*$AT$11)+(AU19*$AU$11)+(AV19*$AV$11)+(AW19*$AW$11)*100)/35%,2),ROUND((AS19*$AS$11)+(AT19*$AT$11)+(AU19*$AU$11)+(AV19*$AV$11)+(AW19*$AW$11),2))</f>
        <v>0</v>
      </c>
      <c r="AY19" s="7"/>
      <c r="AZ19" s="7"/>
      <c r="BA19" s="7"/>
      <c r="BB19" s="7"/>
      <c r="BC19" s="7"/>
      <c r="BD19" s="46">
        <f>IF(OR($G$4="MEDIA",$G$4="BASICA - TERCER CICLO"),ROUND(((AY19*$AY$11)+(AZ19*$AZ$11)+(BA19*$BA$11)+(BB19*$BB$11)+(BC19*$BC$11)*100)/35%,2),ROUND((AY19*$AY$11)+(AZ19*$AZ$11)+(BA19*$BA$11)+(BB19*$BB$11)+(BC19*$BC$11),2))</f>
        <v>0</v>
      </c>
      <c r="BE19" s="7"/>
      <c r="BF19" s="7"/>
      <c r="BG19" s="7"/>
      <c r="BH19" s="46">
        <f>IF(OR($G$4="MEDIA",$G$4="BASICA - TERCER CICLO"),ROUND(((BE19*$BE$11)+(BF19*$BF$11)+(BG19*$BG$11)*100)/30%,2),ROUND(((BE19*$BE$11)+(BF19*$BF$11)+(BG19*$BG$11)*100)/30%,2))</f>
        <v>0</v>
      </c>
      <c r="BI19" s="7"/>
      <c r="BJ19" s="14">
        <f>IF(OR($G$4="MEDIA",$G$4="BASICA - TERCER CICLO"),ROUND((BI19*$BI$11),2),ROUND((BI19*$BI$11),0))</f>
        <v>0</v>
      </c>
      <c r="BK19" s="47">
        <f>ROUND((AX19+BD19+BH19)/3,1)</f>
        <v>0</v>
      </c>
      <c r="BL19" s="7"/>
      <c r="BM19" s="7"/>
      <c r="BN19" s="7"/>
      <c r="BO19" s="7"/>
      <c r="BP19" s="7"/>
      <c r="BQ19" s="13">
        <f>IF(OR($G$4="MEDIA",$G$4="BASICA - TERCER CICLO"),ROUND(((BL19*$BL$11)+(BM19*$BM$11)+(BN19*$BN$11)+(BO19*$BO$11)+(BP19*$BP$11)*100)/35%,2),ROUND(((BL19*$BL$11)+(BM19*$BM$11)+(BN19*$BN$11)+(BO19*$BO$11)+(BP19*$BP$11)*100)/35%,2))</f>
        <v>0</v>
      </c>
      <c r="BR19" s="7"/>
      <c r="BS19" s="7"/>
      <c r="BT19" s="7"/>
      <c r="BU19" s="7"/>
      <c r="BV19" s="7"/>
      <c r="BW19" s="13">
        <f>IF(OR($G$4="MEDIA",$G$4="BASICA - TERCER CICLO"),ROUND(((BR19*$BR$11)+(BS19*$BS$11)+(BT19*$BT$11)+(BU19*$BU$11)+(BV19*$BV$11)*100)/35%,2),ROUND(((BR19*$BR$11)+(BS19*$BS$11)+(BT19*$BT$11)+(BU19*$BU$11)+(BV19*$BP$11)*100)/35%,2))</f>
        <v>0</v>
      </c>
      <c r="BX19" s="7"/>
      <c r="BY19" s="7"/>
      <c r="BZ19" s="7"/>
      <c r="CA19" s="13">
        <f>IF(OR($G$4="MEDIA",$G$4="BASICA - TERCER CICLO"),ROUND(((BX19*$BX$11)+(BY19*$BY$11)+(BZ19*$BZ$11)*100)/30%,2),ROUND(((BX19*$BX$11)+(BY19*$BY$11)+(BZ19*$BZ$11)*100)/30%,2))</f>
        <v>0</v>
      </c>
      <c r="CB19" s="7"/>
      <c r="CC19" s="14">
        <f>IF(OR($G$4="MEDIA",$G$4="BASICA - TERCER CICLO"),ROUND((CB19*$BI$11),2),ROUND((CB19*$BI$11),0))</f>
        <v>0</v>
      </c>
      <c r="CD19" s="28">
        <f>IF(OR($G$4="MEDIA",$G$4="BASICA - TERCER CICLO"),ROUND((BQ19+BW19+CA19+CC19),1),IF($G$4="BASICA",ROUND((BQ19+BW19+CA19+CC19),0),ROUND((BQ19+BW19+CA19+CC19),1)))</f>
        <v>0</v>
      </c>
      <c r="CE19" s="28">
        <f>IF($G$4 = "MEDIA",ROUND(((Y19+AR19+BK19+CD19)/4),0),ROUND(((Y19+AR19+BK19)/3),0))</f>
        <v>0</v>
      </c>
      <c r="CF19" s="20"/>
      <c r="CG19" s="28">
        <f>IF(AND(CE19&lt;5,$G$4="BASICA"),ROUND((CE19+CF19)/2,0),IF(AND(CE19&lt;6,$G$4="MEDIA"),ROUND((CE19+CF19)/2,0),CE19))</f>
        <v>0</v>
      </c>
      <c r="CH19" s="17" t="str">
        <f>IF($G$4="MEDIA",IF(CG19&gt;=6,"Aprobado","Reprobado"),IF(CG19&gt;=5,"Aprobado","Reprobado"))</f>
        <v>Reprobado</v>
      </c>
    </row>
    <row r="20" spans="1:86" customHeight="1" ht="20.25">
      <c r="A20" s="41">
        <v>8</v>
      </c>
      <c r="B20" s="3">
        <v>10335756</v>
      </c>
      <c r="C20" s="3">
        <v>5074</v>
      </c>
      <c r="D20" s="3">
        <v>26954</v>
      </c>
      <c r="E20" s="3" t="s">
        <v>45</v>
      </c>
      <c r="F20" s="42" t="s">
        <v>37</v>
      </c>
      <c r="G20" s="32"/>
      <c r="H20" s="12"/>
      <c r="I20" s="12"/>
      <c r="J20" s="12"/>
      <c r="K20" s="12"/>
      <c r="L20" s="46">
        <f>IF(OR($G$4="MEDIA",$G$4="BASICA - TERCER CICLO"),ROUND(((G20*$G$11)+(H20*$H$11)+(I20*$I$11)+(J20*$J$11)+(K20*$K$11)*100)/35%,2),ROUND((G20*$G$11)+(H20*$H$11)+(I20*$I$11)+(J20*$J$11)+(K20*$K$11),2))</f>
        <v>0</v>
      </c>
      <c r="M20" s="12"/>
      <c r="N20" s="12"/>
      <c r="O20" s="12"/>
      <c r="P20" s="12"/>
      <c r="Q20" s="12"/>
      <c r="R20" s="46">
        <f>IF(OR($G$4="MEDIA",$G$4="BASICA - TERCER CICLO"),ROUND(((M20*$M$11)+(N20*$N$11)+(O20*$O$11)+(P20*$P$11)+(Q20*$Q$11)*100)/35%,2),ROUND((M20*$M$11)+(N20*$N$11)+(O20*$O$11)+(P20*$P$11)+(Q20*$Q$11),2))</f>
        <v>0</v>
      </c>
      <c r="S20" s="12"/>
      <c r="T20" s="12"/>
      <c r="U20" s="12"/>
      <c r="V20" s="13">
        <f>IF(OR($G$4="MEDIA",$G$4="BASICA - TERCER CICLO"),ROUND(((S20*$S$11)+(T20*$T$11)+(U20*$U$11)*100)/30%,2),ROUND(((S20*$S$11)+(T20*$T$11)+(U20*$U$11)*100)/30%,2))</f>
        <v>0</v>
      </c>
      <c r="W20" s="12"/>
      <c r="X20" s="14">
        <f>IF(OR($G$4="MEDIA",$G$4="BASICA - TERCER CICLO"),ROUND((W20*$W$11),2),ROUND((W20*$W$11),0))</f>
        <v>0</v>
      </c>
      <c r="Y20" s="47">
        <f>ROUND((L20+R20+V20)/3,1)</f>
        <v>0</v>
      </c>
      <c r="Z20" s="12"/>
      <c r="AA20" s="12"/>
      <c r="AB20" s="12"/>
      <c r="AC20" s="12"/>
      <c r="AD20" s="12"/>
      <c r="AE20" s="46">
        <f>IF(OR($G$4="MEDIA",$G$4="BASICA - TERCER CICLO"),ROUND(((Z20*$Z$11)+(AA20*$AA$11)+(AB20*$AB$11)+(AC20*$AC$11)+(AD20*$AD$11)*100)/35%,2),ROUND((Z20*$Z$11)+(AA20*$AA$11)+(AB20*$AB$11)+(AC20*$AC$11)+(AD20*$AD$11),2))</f>
        <v>0</v>
      </c>
      <c r="AF20" s="12"/>
      <c r="AG20" s="12"/>
      <c r="AH20" s="12"/>
      <c r="AI20" s="12"/>
      <c r="AJ20" s="12"/>
      <c r="AK20" s="46">
        <f>IF(OR($G$4="MEDIA",$G$4="BASICA - TERCER CICLO"),ROUND(((AF20*$AF$11)+(AG20*$AG$11)+(AH20*$AH$11)+(AI20*$AI$11)+(AJ20*$AJ$11)*100)/35%,2),ROUND((AF20*$AF$11)+(AG20*$AG$11)+(AH20*$AH$11)+(AI20*$AI$11)+(AJ20*$AJ$11),2))</f>
        <v>0</v>
      </c>
      <c r="AL20" s="12"/>
      <c r="AM20" s="12"/>
      <c r="AN20" s="12"/>
      <c r="AO20" s="46">
        <f>IF(OR($G$4="MEDIA",$G$4="BASICA - TERCER CICLO"),ROUND(((AL20*$AL$11)+(AM20*$AM$11)+(AN20*$AN$11)*100)/30%,2),ROUND(((AL20*$AL$11)+(AM20*$AM$11)+(AN20*$AN$11)*100)/30%,2))</f>
        <v>0</v>
      </c>
      <c r="AP20" s="12"/>
      <c r="AQ20" s="14">
        <f>IF(OR($G$4="MEDIA",$G$4="BASICA - TERCER CICLO"),ROUND((AP20*$AP$11),2),ROUND((AP20*$AP$11),0))</f>
        <v>0</v>
      </c>
      <c r="AR20" s="47">
        <f>ROUND((AE20+AK20+AO20)/3,1)</f>
        <v>0</v>
      </c>
      <c r="AS20" s="12"/>
      <c r="AT20" s="12"/>
      <c r="AU20" s="12"/>
      <c r="AV20" s="12"/>
      <c r="AW20" s="12"/>
      <c r="AX20" s="46">
        <f>IF(OR($G$4="MEDIA",$G$4="BASICA - TERCER CICLO"),ROUND(((AS20*$AS$11)+(AT20*$AT$11)+(AU20*$AU$11)+(AV20*$AV$11)+(AW20*$AW$11)*100)/35%,2),ROUND((AS20*$AS$11)+(AT20*$AT$11)+(AU20*$AU$11)+(AV20*$AV$11)+(AW20*$AW$11),2))</f>
        <v>0</v>
      </c>
      <c r="AY20" s="12"/>
      <c r="AZ20" s="12"/>
      <c r="BA20" s="12"/>
      <c r="BB20" s="12"/>
      <c r="BC20" s="12"/>
      <c r="BD20" s="46">
        <f>IF(OR($G$4="MEDIA",$G$4="BASICA - TERCER CICLO"),ROUND(((AY20*$AY$11)+(AZ20*$AZ$11)+(BA20*$BA$11)+(BB20*$BB$11)+(BC20*$BC$11)*100)/35%,2),ROUND((AY20*$AY$11)+(AZ20*$AZ$11)+(BA20*$BA$11)+(BB20*$BB$11)+(BC20*$BC$11),2))</f>
        <v>0</v>
      </c>
      <c r="BE20" s="12"/>
      <c r="BF20" s="12"/>
      <c r="BG20" s="12"/>
      <c r="BH20" s="46">
        <f>IF(OR($G$4="MEDIA",$G$4="BASICA - TERCER CICLO"),ROUND(((BE20*$BE$11)+(BF20*$BF$11)+(BG20*$BG$11)*100)/30%,2),ROUND(((BE20*$BE$11)+(BF20*$BF$11)+(BG20*$BG$11)*100)/30%,2))</f>
        <v>0</v>
      </c>
      <c r="BI20" s="12"/>
      <c r="BJ20" s="14">
        <f>IF(OR($G$4="MEDIA",$G$4="BASICA - TERCER CICLO"),ROUND((BI20*$BI$11),2),ROUND((BI20*$BI$11),0))</f>
        <v>0</v>
      </c>
      <c r="BK20" s="47">
        <f>ROUND((AX20+BD20+BH20)/3,1)</f>
        <v>0</v>
      </c>
      <c r="BL20" s="12"/>
      <c r="BM20" s="12"/>
      <c r="BN20" s="12"/>
      <c r="BO20" s="12"/>
      <c r="BP20" s="12"/>
      <c r="BQ20" s="13">
        <f>IF(OR($G$4="MEDIA",$G$4="BASICA - TERCER CICLO"),ROUND(((BL20*$BL$11)+(BM20*$BM$11)+(BN20*$BN$11)+(BO20*$BO$11)+(BP20*$BP$11)*100)/35%,2),ROUND(((BL20*$BL$11)+(BM20*$BM$11)+(BN20*$BN$11)+(BO20*$BO$11)+(BP20*$BP$11)*100)/35%,2))</f>
        <v>0</v>
      </c>
      <c r="BR20" s="12"/>
      <c r="BS20" s="12"/>
      <c r="BT20" s="12"/>
      <c r="BU20" s="12"/>
      <c r="BV20" s="12"/>
      <c r="BW20" s="13">
        <f>IF(OR($G$4="MEDIA",$G$4="BASICA - TERCER CICLO"),ROUND(((BR20*$BR$11)+(BS20*$BS$11)+(BT20*$BT$11)+(BU20*$BU$11)+(BV20*$BV$11)*100)/35%,2),ROUND(((BR20*$BR$11)+(BS20*$BS$11)+(BT20*$BT$11)+(BU20*$BU$11)+(BV20*$BP$11)*100)/35%,2))</f>
        <v>0</v>
      </c>
      <c r="BX20" s="12"/>
      <c r="BY20" s="12"/>
      <c r="BZ20" s="12"/>
      <c r="CA20" s="13">
        <f>IF(OR($G$4="MEDIA",$G$4="BASICA - TERCER CICLO"),ROUND(((BX20*$BX$11)+(BY20*$BY$11)+(BZ20*$BZ$11)*100)/30%,2),ROUND(((BX20*$BX$11)+(BY20*$BY$11)+(BZ20*$BZ$11)*100)/30%,2))</f>
        <v>0</v>
      </c>
      <c r="CB20" s="12"/>
      <c r="CC20" s="14">
        <f>IF(OR($G$4="MEDIA",$G$4="BASICA - TERCER CICLO"),ROUND((CB20*$BI$11),2),ROUND((CB20*$BI$11),0))</f>
        <v>0</v>
      </c>
      <c r="CD20" s="28">
        <f>IF(OR($G$4="MEDIA",$G$4="BASICA - TERCER CICLO"),ROUND((BQ20+BW20+CA20+CC20),1),IF($G$4="BASICA",ROUND((BQ20+BW20+CA20+CC20),0),ROUND((BQ20+BW20+CA20+CC20),1)))</f>
        <v>0</v>
      </c>
      <c r="CE20" s="28">
        <f>IF($G$4 = "MEDIA",ROUND(((Y20+AR20+BK20+CD20)/4),0),ROUND(((Y20+AR20+BK20)/3),0))</f>
        <v>0</v>
      </c>
      <c r="CF20" s="21"/>
      <c r="CG20" s="28">
        <f>IF(AND(CE20&lt;5,$G$4="BASICA"),ROUND((CE20+CF20)/2,0),IF(AND(CE20&lt;6,$G$4="MEDIA"),ROUND((CE20+CF20)/2,0),CE20))</f>
        <v>0</v>
      </c>
      <c r="CH20" s="16" t="str">
        <f>IF($G$4="MEDIA",IF(CG20&gt;=6,"Aprobado","Reprobado"),IF(CG20&gt;=5,"Aprobado","Reprobado"))</f>
        <v>Reprobado</v>
      </c>
    </row>
    <row r="21" spans="1:86" customHeight="1" ht="20.25">
      <c r="A21" s="39">
        <v>9</v>
      </c>
      <c r="B21" s="2">
        <v>10282550</v>
      </c>
      <c r="C21" s="2">
        <v>4388</v>
      </c>
      <c r="D21" s="2">
        <v>26955</v>
      </c>
      <c r="E21" s="2" t="s">
        <v>46</v>
      </c>
      <c r="F21" s="40" t="s">
        <v>39</v>
      </c>
      <c r="G21" s="31"/>
      <c r="H21" s="7"/>
      <c r="I21" s="7"/>
      <c r="J21" s="7"/>
      <c r="K21" s="7"/>
      <c r="L21" s="46">
        <f>IF(OR($G$4="MEDIA",$G$4="BASICA - TERCER CICLO"),ROUND(((G21*$G$11)+(H21*$H$11)+(I21*$I$11)+(J21*$J$11)+(K21*$K$11)*100)/35%,2),ROUND((G21*$G$11)+(H21*$H$11)+(I21*$I$11)+(J21*$J$11)+(K21*$K$11),2))</f>
        <v>0</v>
      </c>
      <c r="M21" s="7"/>
      <c r="N21" s="7"/>
      <c r="O21" s="7"/>
      <c r="P21" s="7"/>
      <c r="Q21" s="7"/>
      <c r="R21" s="46">
        <f>IF(OR($G$4="MEDIA",$G$4="BASICA - TERCER CICLO"),ROUND(((M21*$M$11)+(N21*$N$11)+(O21*$O$11)+(P21*$P$11)+(Q21*$Q$11)*100)/35%,2),ROUND((M21*$M$11)+(N21*$N$11)+(O21*$O$11)+(P21*$P$11)+(Q21*$Q$11),2))</f>
        <v>0</v>
      </c>
      <c r="S21" s="7"/>
      <c r="T21" s="7"/>
      <c r="U21" s="7"/>
      <c r="V21" s="13">
        <f>IF(OR($G$4="MEDIA",$G$4="BASICA - TERCER CICLO"),ROUND(((S21*$S$11)+(T21*$T$11)+(U21*$U$11)*100)/30%,2),ROUND(((S21*$S$11)+(T21*$T$11)+(U21*$U$11)*100)/30%,2))</f>
        <v>0</v>
      </c>
      <c r="W21" s="7"/>
      <c r="X21" s="14">
        <f>IF(OR($G$4="MEDIA",$G$4="BASICA - TERCER CICLO"),ROUND((W21*$W$11),2),ROUND((W21*$W$11),0))</f>
        <v>0</v>
      </c>
      <c r="Y21" s="47">
        <f>ROUND((L21+R21+V21)/3,1)</f>
        <v>0</v>
      </c>
      <c r="Z21" s="7"/>
      <c r="AA21" s="7"/>
      <c r="AB21" s="7"/>
      <c r="AC21" s="7"/>
      <c r="AD21" s="7"/>
      <c r="AE21" s="46">
        <f>IF(OR($G$4="MEDIA",$G$4="BASICA - TERCER CICLO"),ROUND(((Z21*$Z$11)+(AA21*$AA$11)+(AB21*$AB$11)+(AC21*$AC$11)+(AD21*$AD$11)*100)/35%,2),ROUND((Z21*$Z$11)+(AA21*$AA$11)+(AB21*$AB$11)+(AC21*$AC$11)+(AD21*$AD$11),2))</f>
        <v>0</v>
      </c>
      <c r="AF21" s="7"/>
      <c r="AG21" s="7"/>
      <c r="AH21" s="7"/>
      <c r="AI21" s="7"/>
      <c r="AJ21" s="7"/>
      <c r="AK21" s="46">
        <f>IF(OR($G$4="MEDIA",$G$4="BASICA - TERCER CICLO"),ROUND(((AF21*$AF$11)+(AG21*$AG$11)+(AH21*$AH$11)+(AI21*$AI$11)+(AJ21*$AJ$11)*100)/35%,2),ROUND((AF21*$AF$11)+(AG21*$AG$11)+(AH21*$AH$11)+(AI21*$AI$11)+(AJ21*$AJ$11),2))</f>
        <v>0</v>
      </c>
      <c r="AL21" s="7"/>
      <c r="AM21" s="7"/>
      <c r="AN21" s="7"/>
      <c r="AO21" s="46">
        <f>IF(OR($G$4="MEDIA",$G$4="BASICA - TERCER CICLO"),ROUND(((AL21*$AL$11)+(AM21*$AM$11)+(AN21*$AN$11)*100)/30%,2),ROUND(((AL21*$AL$11)+(AM21*$AM$11)+(AN21*$AN$11)*100)/30%,2))</f>
        <v>0</v>
      </c>
      <c r="AP21" s="7"/>
      <c r="AQ21" s="14">
        <f>IF(OR($G$4="MEDIA",$G$4="BASICA - TERCER CICLO"),ROUND((AP21*$AP$11),2),ROUND((AP21*$AP$11),0))</f>
        <v>0</v>
      </c>
      <c r="AR21" s="47">
        <f>ROUND((AE21+AK21+AO21)/3,1)</f>
        <v>0</v>
      </c>
      <c r="AS21" s="7"/>
      <c r="AT21" s="7"/>
      <c r="AU21" s="7"/>
      <c r="AV21" s="7"/>
      <c r="AW21" s="7"/>
      <c r="AX21" s="46">
        <f>IF(OR($G$4="MEDIA",$G$4="BASICA - TERCER CICLO"),ROUND(((AS21*$AS$11)+(AT21*$AT$11)+(AU21*$AU$11)+(AV21*$AV$11)+(AW21*$AW$11)*100)/35%,2),ROUND((AS21*$AS$11)+(AT21*$AT$11)+(AU21*$AU$11)+(AV21*$AV$11)+(AW21*$AW$11),2))</f>
        <v>0</v>
      </c>
      <c r="AY21" s="7"/>
      <c r="AZ21" s="7"/>
      <c r="BA21" s="7"/>
      <c r="BB21" s="7"/>
      <c r="BC21" s="7"/>
      <c r="BD21" s="46">
        <f>IF(OR($G$4="MEDIA",$G$4="BASICA - TERCER CICLO"),ROUND(((AY21*$AY$11)+(AZ21*$AZ$11)+(BA21*$BA$11)+(BB21*$BB$11)+(BC21*$BC$11)*100)/35%,2),ROUND((AY21*$AY$11)+(AZ21*$AZ$11)+(BA21*$BA$11)+(BB21*$BB$11)+(BC21*$BC$11),2))</f>
        <v>0</v>
      </c>
      <c r="BE21" s="7"/>
      <c r="BF21" s="7"/>
      <c r="BG21" s="7"/>
      <c r="BH21" s="46">
        <f>IF(OR($G$4="MEDIA",$G$4="BASICA - TERCER CICLO"),ROUND(((BE21*$BE$11)+(BF21*$BF$11)+(BG21*$BG$11)*100)/30%,2),ROUND(((BE21*$BE$11)+(BF21*$BF$11)+(BG21*$BG$11)*100)/30%,2))</f>
        <v>0</v>
      </c>
      <c r="BI21" s="7"/>
      <c r="BJ21" s="14">
        <f>IF(OR($G$4="MEDIA",$G$4="BASICA - TERCER CICLO"),ROUND((BI21*$BI$11),2),ROUND((BI21*$BI$11),0))</f>
        <v>0</v>
      </c>
      <c r="BK21" s="47">
        <f>ROUND((AX21+BD21+BH21)/3,1)</f>
        <v>0</v>
      </c>
      <c r="BL21" s="7"/>
      <c r="BM21" s="7"/>
      <c r="BN21" s="7"/>
      <c r="BO21" s="7"/>
      <c r="BP21" s="7"/>
      <c r="BQ21" s="13">
        <f>IF(OR($G$4="MEDIA",$G$4="BASICA - TERCER CICLO"),ROUND(((BL21*$BL$11)+(BM21*$BM$11)+(BN21*$BN$11)+(BO21*$BO$11)+(BP21*$BP$11)*100)/35%,2),ROUND(((BL21*$BL$11)+(BM21*$BM$11)+(BN21*$BN$11)+(BO21*$BO$11)+(BP21*$BP$11)*100)/35%,2))</f>
        <v>0</v>
      </c>
      <c r="BR21" s="7"/>
      <c r="BS21" s="7"/>
      <c r="BT21" s="7"/>
      <c r="BU21" s="7"/>
      <c r="BV21" s="7"/>
      <c r="BW21" s="13">
        <f>IF(OR($G$4="MEDIA",$G$4="BASICA - TERCER CICLO"),ROUND(((BR21*$BR$11)+(BS21*$BS$11)+(BT21*$BT$11)+(BU21*$BU$11)+(BV21*$BV$11)*100)/35%,2),ROUND(((BR21*$BR$11)+(BS21*$BS$11)+(BT21*$BT$11)+(BU21*$BU$11)+(BV21*$BP$11)*100)/35%,2))</f>
        <v>0</v>
      </c>
      <c r="BX21" s="7"/>
      <c r="BY21" s="7"/>
      <c r="BZ21" s="7"/>
      <c r="CA21" s="13">
        <f>IF(OR($G$4="MEDIA",$G$4="BASICA - TERCER CICLO"),ROUND(((BX21*$BX$11)+(BY21*$BY$11)+(BZ21*$BZ$11)*100)/30%,2),ROUND(((BX21*$BX$11)+(BY21*$BY$11)+(BZ21*$BZ$11)*100)/30%,2))</f>
        <v>0</v>
      </c>
      <c r="CB21" s="7"/>
      <c r="CC21" s="14">
        <f>IF(OR($G$4="MEDIA",$G$4="BASICA - TERCER CICLO"),ROUND((CB21*$BI$11),2),ROUND((CB21*$BI$11),0))</f>
        <v>0</v>
      </c>
      <c r="CD21" s="28">
        <f>IF(OR($G$4="MEDIA",$G$4="BASICA - TERCER CICLO"),ROUND((BQ21+BW21+CA21+CC21),1),IF($G$4="BASICA",ROUND((BQ21+BW21+CA21+CC21),0),ROUND((BQ21+BW21+CA21+CC21),1)))</f>
        <v>0</v>
      </c>
      <c r="CE21" s="28">
        <f>IF($G$4 = "MEDIA",ROUND(((Y21+AR21+BK21+CD21)/4),0),ROUND(((Y21+AR21+BK21)/3),0))</f>
        <v>0</v>
      </c>
      <c r="CF21" s="20"/>
      <c r="CG21" s="28">
        <f>IF(AND(CE21&lt;5,$G$4="BASICA"),ROUND((CE21+CF21)/2,0),IF(AND(CE21&lt;6,$G$4="MEDIA"),ROUND((CE21+CF21)/2,0),CE21))</f>
        <v>0</v>
      </c>
      <c r="CH21" s="17" t="str">
        <f>IF($G$4="MEDIA",IF(CG21&gt;=6,"Aprobado","Reprobado"),IF(CG21&gt;=5,"Aprobado","Reprobado"))</f>
        <v>Reprobado</v>
      </c>
    </row>
    <row r="22" spans="1:86" customHeight="1" ht="20.25">
      <c r="A22" s="41">
        <v>10</v>
      </c>
      <c r="B22" s="3">
        <v>10282566</v>
      </c>
      <c r="C22" s="3">
        <v>4376</v>
      </c>
      <c r="D22" s="3">
        <v>26956</v>
      </c>
      <c r="E22" s="3" t="s">
        <v>47</v>
      </c>
      <c r="F22" s="42" t="s">
        <v>39</v>
      </c>
      <c r="G22" s="32"/>
      <c r="H22" s="12"/>
      <c r="I22" s="12"/>
      <c r="J22" s="12"/>
      <c r="K22" s="12"/>
      <c r="L22" s="46">
        <f>IF(OR($G$4="MEDIA",$G$4="BASICA - TERCER CICLO"),ROUND(((G22*$G$11)+(H22*$H$11)+(I22*$I$11)+(J22*$J$11)+(K22*$K$11)*100)/35%,2),ROUND((G22*$G$11)+(H22*$H$11)+(I22*$I$11)+(J22*$J$11)+(K22*$K$11),2))</f>
        <v>0</v>
      </c>
      <c r="M22" s="12"/>
      <c r="N22" s="12"/>
      <c r="O22" s="12"/>
      <c r="P22" s="12"/>
      <c r="Q22" s="12"/>
      <c r="R22" s="46">
        <f>IF(OR($G$4="MEDIA",$G$4="BASICA - TERCER CICLO"),ROUND(((M22*$M$11)+(N22*$N$11)+(O22*$O$11)+(P22*$P$11)+(Q22*$Q$11)*100)/35%,2),ROUND((M22*$M$11)+(N22*$N$11)+(O22*$O$11)+(P22*$P$11)+(Q22*$Q$11),2))</f>
        <v>0</v>
      </c>
      <c r="S22" s="12"/>
      <c r="T22" s="12"/>
      <c r="U22" s="12"/>
      <c r="V22" s="13">
        <f>IF(OR($G$4="MEDIA",$G$4="BASICA - TERCER CICLO"),ROUND(((S22*$S$11)+(T22*$T$11)+(U22*$U$11)*100)/30%,2),ROUND(((S22*$S$11)+(T22*$T$11)+(U22*$U$11)*100)/30%,2))</f>
        <v>0</v>
      </c>
      <c r="W22" s="12"/>
      <c r="X22" s="14">
        <f>IF(OR($G$4="MEDIA",$G$4="BASICA - TERCER CICLO"),ROUND((W22*$W$11),2),ROUND((W22*$W$11),0))</f>
        <v>0</v>
      </c>
      <c r="Y22" s="47">
        <f>ROUND((L22+R22+V22)/3,1)</f>
        <v>0</v>
      </c>
      <c r="Z22" s="12"/>
      <c r="AA22" s="12"/>
      <c r="AB22" s="12"/>
      <c r="AC22" s="12"/>
      <c r="AD22" s="12"/>
      <c r="AE22" s="46">
        <f>IF(OR($G$4="MEDIA",$G$4="BASICA - TERCER CICLO"),ROUND(((Z22*$Z$11)+(AA22*$AA$11)+(AB22*$AB$11)+(AC22*$AC$11)+(AD22*$AD$11)*100)/35%,2),ROUND((Z22*$Z$11)+(AA22*$AA$11)+(AB22*$AB$11)+(AC22*$AC$11)+(AD22*$AD$11),2))</f>
        <v>0</v>
      </c>
      <c r="AF22" s="12"/>
      <c r="AG22" s="12"/>
      <c r="AH22" s="12"/>
      <c r="AI22" s="12"/>
      <c r="AJ22" s="12"/>
      <c r="AK22" s="46">
        <f>IF(OR($G$4="MEDIA",$G$4="BASICA - TERCER CICLO"),ROUND(((AF22*$AF$11)+(AG22*$AG$11)+(AH22*$AH$11)+(AI22*$AI$11)+(AJ22*$AJ$11)*100)/35%,2),ROUND((AF22*$AF$11)+(AG22*$AG$11)+(AH22*$AH$11)+(AI22*$AI$11)+(AJ22*$AJ$11),2))</f>
        <v>0</v>
      </c>
      <c r="AL22" s="12"/>
      <c r="AM22" s="12"/>
      <c r="AN22" s="12"/>
      <c r="AO22" s="46">
        <f>IF(OR($G$4="MEDIA",$G$4="BASICA - TERCER CICLO"),ROUND(((AL22*$AL$11)+(AM22*$AM$11)+(AN22*$AN$11)*100)/30%,2),ROUND(((AL22*$AL$11)+(AM22*$AM$11)+(AN22*$AN$11)*100)/30%,2))</f>
        <v>0</v>
      </c>
      <c r="AP22" s="12"/>
      <c r="AQ22" s="14">
        <f>IF(OR($G$4="MEDIA",$G$4="BASICA - TERCER CICLO"),ROUND((AP22*$AP$11),2),ROUND((AP22*$AP$11),0))</f>
        <v>0</v>
      </c>
      <c r="AR22" s="47">
        <f>ROUND((AE22+AK22+AO22)/3,1)</f>
        <v>0</v>
      </c>
      <c r="AS22" s="12"/>
      <c r="AT22" s="12"/>
      <c r="AU22" s="12"/>
      <c r="AV22" s="12"/>
      <c r="AW22" s="12"/>
      <c r="AX22" s="46">
        <f>IF(OR($G$4="MEDIA",$G$4="BASICA - TERCER CICLO"),ROUND(((AS22*$AS$11)+(AT22*$AT$11)+(AU22*$AU$11)+(AV22*$AV$11)+(AW22*$AW$11)*100)/35%,2),ROUND((AS22*$AS$11)+(AT22*$AT$11)+(AU22*$AU$11)+(AV22*$AV$11)+(AW22*$AW$11),2))</f>
        <v>0</v>
      </c>
      <c r="AY22" s="12"/>
      <c r="AZ22" s="12"/>
      <c r="BA22" s="12"/>
      <c r="BB22" s="12"/>
      <c r="BC22" s="12"/>
      <c r="BD22" s="46">
        <f>IF(OR($G$4="MEDIA",$G$4="BASICA - TERCER CICLO"),ROUND(((AY22*$AY$11)+(AZ22*$AZ$11)+(BA22*$BA$11)+(BB22*$BB$11)+(BC22*$BC$11)*100)/35%,2),ROUND((AY22*$AY$11)+(AZ22*$AZ$11)+(BA22*$BA$11)+(BB22*$BB$11)+(BC22*$BC$11),2))</f>
        <v>0</v>
      </c>
      <c r="BE22" s="12"/>
      <c r="BF22" s="12"/>
      <c r="BG22" s="12"/>
      <c r="BH22" s="46">
        <f>IF(OR($G$4="MEDIA",$G$4="BASICA - TERCER CICLO"),ROUND(((BE22*$BE$11)+(BF22*$BF$11)+(BG22*$BG$11)*100)/30%,2),ROUND(((BE22*$BE$11)+(BF22*$BF$11)+(BG22*$BG$11)*100)/30%,2))</f>
        <v>0</v>
      </c>
      <c r="BI22" s="12"/>
      <c r="BJ22" s="14">
        <f>IF(OR($G$4="MEDIA",$G$4="BASICA - TERCER CICLO"),ROUND((BI22*$BI$11),2),ROUND((BI22*$BI$11),0))</f>
        <v>0</v>
      </c>
      <c r="BK22" s="47">
        <f>ROUND((AX22+BD22+BH22)/3,1)</f>
        <v>0</v>
      </c>
      <c r="BL22" s="12"/>
      <c r="BM22" s="12"/>
      <c r="BN22" s="12"/>
      <c r="BO22" s="12"/>
      <c r="BP22" s="12"/>
      <c r="BQ22" s="13">
        <f>IF(OR($G$4="MEDIA",$G$4="BASICA - TERCER CICLO"),ROUND(((BL22*$BL$11)+(BM22*$BM$11)+(BN22*$BN$11)+(BO22*$BO$11)+(BP22*$BP$11)*100)/35%,2),ROUND(((BL22*$BL$11)+(BM22*$BM$11)+(BN22*$BN$11)+(BO22*$BO$11)+(BP22*$BP$11)*100)/35%,2))</f>
        <v>0</v>
      </c>
      <c r="BR22" s="12"/>
      <c r="BS22" s="12"/>
      <c r="BT22" s="12"/>
      <c r="BU22" s="12"/>
      <c r="BV22" s="12"/>
      <c r="BW22" s="13">
        <f>IF(OR($G$4="MEDIA",$G$4="BASICA - TERCER CICLO"),ROUND(((BR22*$BR$11)+(BS22*$BS$11)+(BT22*$BT$11)+(BU22*$BU$11)+(BV22*$BV$11)*100)/35%,2),ROUND(((BR22*$BR$11)+(BS22*$BS$11)+(BT22*$BT$11)+(BU22*$BU$11)+(BV22*$BP$11)*100)/35%,2))</f>
        <v>0</v>
      </c>
      <c r="BX22" s="12"/>
      <c r="BY22" s="12"/>
      <c r="BZ22" s="12"/>
      <c r="CA22" s="13">
        <f>IF(OR($G$4="MEDIA",$G$4="BASICA - TERCER CICLO"),ROUND(((BX22*$BX$11)+(BY22*$BY$11)+(BZ22*$BZ$11)*100)/30%,2),ROUND(((BX22*$BX$11)+(BY22*$BY$11)+(BZ22*$BZ$11)*100)/30%,2))</f>
        <v>0</v>
      </c>
      <c r="CB22" s="12"/>
      <c r="CC22" s="14">
        <f>IF(OR($G$4="MEDIA",$G$4="BASICA - TERCER CICLO"),ROUND((CB22*$BI$11),2),ROUND((CB22*$BI$11),0))</f>
        <v>0</v>
      </c>
      <c r="CD22" s="28">
        <f>IF(OR($G$4="MEDIA",$G$4="BASICA - TERCER CICLO"),ROUND((BQ22+BW22+CA22+CC22),1),IF($G$4="BASICA",ROUND((BQ22+BW22+CA22+CC22),0),ROUND((BQ22+BW22+CA22+CC22),1)))</f>
        <v>0</v>
      </c>
      <c r="CE22" s="28">
        <f>IF($G$4 = "MEDIA",ROUND(((Y22+AR22+BK22+CD22)/4),0),ROUND(((Y22+AR22+BK22)/3),0))</f>
        <v>0</v>
      </c>
      <c r="CF22" s="21"/>
      <c r="CG22" s="28">
        <f>IF(AND(CE22&lt;5,$G$4="BASICA"),ROUND((CE22+CF22)/2,0),IF(AND(CE22&lt;6,$G$4="MEDIA"),ROUND((CE22+CF22)/2,0),CE22))</f>
        <v>0</v>
      </c>
      <c r="CH22" s="16" t="str">
        <f>IF($G$4="MEDIA",IF(CG22&gt;=6,"Aprobado","Reprobado"),IF(CG22&gt;=5,"Aprobado","Reprobado"))</f>
        <v>Reprobado</v>
      </c>
    </row>
    <row r="23" spans="1:86" customHeight="1" ht="20.25">
      <c r="A23" s="39">
        <v>11</v>
      </c>
      <c r="B23" s="2">
        <v>10519959</v>
      </c>
      <c r="C23" s="2">
        <v>5098</v>
      </c>
      <c r="D23" s="2">
        <v>26957</v>
      </c>
      <c r="E23" s="2" t="s">
        <v>48</v>
      </c>
      <c r="F23" s="40" t="s">
        <v>39</v>
      </c>
      <c r="G23" s="31"/>
      <c r="H23" s="7"/>
      <c r="I23" s="7"/>
      <c r="J23" s="7"/>
      <c r="K23" s="7"/>
      <c r="L23" s="46">
        <f>IF(OR($G$4="MEDIA",$G$4="BASICA - TERCER CICLO"),ROUND(((G23*$G$11)+(H23*$H$11)+(I23*$I$11)+(J23*$J$11)+(K23*$K$11)*100)/35%,2),ROUND((G23*$G$11)+(H23*$H$11)+(I23*$I$11)+(J23*$J$11)+(K23*$K$11),2))</f>
        <v>0</v>
      </c>
      <c r="M23" s="7"/>
      <c r="N23" s="7"/>
      <c r="O23" s="7"/>
      <c r="P23" s="7"/>
      <c r="Q23" s="7"/>
      <c r="R23" s="46">
        <f>IF(OR($G$4="MEDIA",$G$4="BASICA - TERCER CICLO"),ROUND(((M23*$M$11)+(N23*$N$11)+(O23*$O$11)+(P23*$P$11)+(Q23*$Q$11)*100)/35%,2),ROUND((M23*$M$11)+(N23*$N$11)+(O23*$O$11)+(P23*$P$11)+(Q23*$Q$11),2))</f>
        <v>0</v>
      </c>
      <c r="S23" s="7"/>
      <c r="T23" s="7"/>
      <c r="U23" s="7"/>
      <c r="V23" s="13">
        <f>IF(OR($G$4="MEDIA",$G$4="BASICA - TERCER CICLO"),ROUND(((S23*$S$11)+(T23*$T$11)+(U23*$U$11)*100)/30%,2),ROUND(((S23*$S$11)+(T23*$T$11)+(U23*$U$11)*100)/30%,2))</f>
        <v>0</v>
      </c>
      <c r="W23" s="7"/>
      <c r="X23" s="14">
        <f>IF(OR($G$4="MEDIA",$G$4="BASICA - TERCER CICLO"),ROUND((W23*$W$11),2),ROUND((W23*$W$11),0))</f>
        <v>0</v>
      </c>
      <c r="Y23" s="47">
        <f>ROUND((L23+R23+V23)/3,1)</f>
        <v>0</v>
      </c>
      <c r="Z23" s="7"/>
      <c r="AA23" s="7"/>
      <c r="AB23" s="7"/>
      <c r="AC23" s="7"/>
      <c r="AD23" s="7"/>
      <c r="AE23" s="46">
        <f>IF(OR($G$4="MEDIA",$G$4="BASICA - TERCER CICLO"),ROUND(((Z23*$Z$11)+(AA23*$AA$11)+(AB23*$AB$11)+(AC23*$AC$11)+(AD23*$AD$11)*100)/35%,2),ROUND((Z23*$Z$11)+(AA23*$AA$11)+(AB23*$AB$11)+(AC23*$AC$11)+(AD23*$AD$11),2))</f>
        <v>0</v>
      </c>
      <c r="AF23" s="7"/>
      <c r="AG23" s="7"/>
      <c r="AH23" s="7"/>
      <c r="AI23" s="7"/>
      <c r="AJ23" s="7"/>
      <c r="AK23" s="46">
        <f>IF(OR($G$4="MEDIA",$G$4="BASICA - TERCER CICLO"),ROUND(((AF23*$AF$11)+(AG23*$AG$11)+(AH23*$AH$11)+(AI23*$AI$11)+(AJ23*$AJ$11)*100)/35%,2),ROUND((AF23*$AF$11)+(AG23*$AG$11)+(AH23*$AH$11)+(AI23*$AI$11)+(AJ23*$AJ$11),2))</f>
        <v>0</v>
      </c>
      <c r="AL23" s="7"/>
      <c r="AM23" s="7"/>
      <c r="AN23" s="7"/>
      <c r="AO23" s="46">
        <f>IF(OR($G$4="MEDIA",$G$4="BASICA - TERCER CICLO"),ROUND(((AL23*$AL$11)+(AM23*$AM$11)+(AN23*$AN$11)*100)/30%,2),ROUND(((AL23*$AL$11)+(AM23*$AM$11)+(AN23*$AN$11)*100)/30%,2))</f>
        <v>0</v>
      </c>
      <c r="AP23" s="7"/>
      <c r="AQ23" s="14">
        <f>IF(OR($G$4="MEDIA",$G$4="BASICA - TERCER CICLO"),ROUND((AP23*$AP$11),2),ROUND((AP23*$AP$11),0))</f>
        <v>0</v>
      </c>
      <c r="AR23" s="47">
        <f>ROUND((AE23+AK23+AO23)/3,1)</f>
        <v>0</v>
      </c>
      <c r="AS23" s="7"/>
      <c r="AT23" s="7"/>
      <c r="AU23" s="7"/>
      <c r="AV23" s="7"/>
      <c r="AW23" s="7"/>
      <c r="AX23" s="46">
        <f>IF(OR($G$4="MEDIA",$G$4="BASICA - TERCER CICLO"),ROUND(((AS23*$AS$11)+(AT23*$AT$11)+(AU23*$AU$11)+(AV23*$AV$11)+(AW23*$AW$11)*100)/35%,2),ROUND((AS23*$AS$11)+(AT23*$AT$11)+(AU23*$AU$11)+(AV23*$AV$11)+(AW23*$AW$11),2))</f>
        <v>0</v>
      </c>
      <c r="AY23" s="7"/>
      <c r="AZ23" s="7"/>
      <c r="BA23" s="7"/>
      <c r="BB23" s="7"/>
      <c r="BC23" s="7"/>
      <c r="BD23" s="46">
        <f>IF(OR($G$4="MEDIA",$G$4="BASICA - TERCER CICLO"),ROUND(((AY23*$AY$11)+(AZ23*$AZ$11)+(BA23*$BA$11)+(BB23*$BB$11)+(BC23*$BC$11)*100)/35%,2),ROUND((AY23*$AY$11)+(AZ23*$AZ$11)+(BA23*$BA$11)+(BB23*$BB$11)+(BC23*$BC$11),2))</f>
        <v>0</v>
      </c>
      <c r="BE23" s="7"/>
      <c r="BF23" s="7"/>
      <c r="BG23" s="7"/>
      <c r="BH23" s="46">
        <f>IF(OR($G$4="MEDIA",$G$4="BASICA - TERCER CICLO"),ROUND(((BE23*$BE$11)+(BF23*$BF$11)+(BG23*$BG$11)*100)/30%,2),ROUND(((BE23*$BE$11)+(BF23*$BF$11)+(BG23*$BG$11)*100)/30%,2))</f>
        <v>0</v>
      </c>
      <c r="BI23" s="7"/>
      <c r="BJ23" s="14">
        <f>IF(OR($G$4="MEDIA",$G$4="BASICA - TERCER CICLO"),ROUND((BI23*$BI$11),2),ROUND((BI23*$BI$11),0))</f>
        <v>0</v>
      </c>
      <c r="BK23" s="47">
        <f>ROUND((AX23+BD23+BH23)/3,1)</f>
        <v>0</v>
      </c>
      <c r="BL23" s="7"/>
      <c r="BM23" s="7"/>
      <c r="BN23" s="7"/>
      <c r="BO23" s="7"/>
      <c r="BP23" s="7"/>
      <c r="BQ23" s="13">
        <f>IF(OR($G$4="MEDIA",$G$4="BASICA - TERCER CICLO"),ROUND(((BL23*$BL$11)+(BM23*$BM$11)+(BN23*$BN$11)+(BO23*$BO$11)+(BP23*$BP$11)*100)/35%,2),ROUND(((BL23*$BL$11)+(BM23*$BM$11)+(BN23*$BN$11)+(BO23*$BO$11)+(BP23*$BP$11)*100)/35%,2))</f>
        <v>0</v>
      </c>
      <c r="BR23" s="7"/>
      <c r="BS23" s="7"/>
      <c r="BT23" s="7"/>
      <c r="BU23" s="7"/>
      <c r="BV23" s="7"/>
      <c r="BW23" s="13">
        <f>IF(OR($G$4="MEDIA",$G$4="BASICA - TERCER CICLO"),ROUND(((BR23*$BR$11)+(BS23*$BS$11)+(BT23*$BT$11)+(BU23*$BU$11)+(BV23*$BV$11)*100)/35%,2),ROUND(((BR23*$BR$11)+(BS23*$BS$11)+(BT23*$BT$11)+(BU23*$BU$11)+(BV23*$BP$11)*100)/35%,2))</f>
        <v>0</v>
      </c>
      <c r="BX23" s="7"/>
      <c r="BY23" s="7"/>
      <c r="BZ23" s="7"/>
      <c r="CA23" s="13">
        <f>IF(OR($G$4="MEDIA",$G$4="BASICA - TERCER CICLO"),ROUND(((BX23*$BX$11)+(BY23*$BY$11)+(BZ23*$BZ$11)*100)/30%,2),ROUND(((BX23*$BX$11)+(BY23*$BY$11)+(BZ23*$BZ$11)*100)/30%,2))</f>
        <v>0</v>
      </c>
      <c r="CB23" s="7"/>
      <c r="CC23" s="14">
        <f>IF(OR($G$4="MEDIA",$G$4="BASICA - TERCER CICLO"),ROUND((CB23*$BI$11),2),ROUND((CB23*$BI$11),0))</f>
        <v>0</v>
      </c>
      <c r="CD23" s="28">
        <f>IF(OR($G$4="MEDIA",$G$4="BASICA - TERCER CICLO"),ROUND((BQ23+BW23+CA23+CC23),1),IF($G$4="BASICA",ROUND((BQ23+BW23+CA23+CC23),0),ROUND((BQ23+BW23+CA23+CC23),1)))</f>
        <v>0</v>
      </c>
      <c r="CE23" s="28">
        <f>IF($G$4 = "MEDIA",ROUND(((Y23+AR23+BK23+CD23)/4),0),ROUND(((Y23+AR23+BK23)/3),0))</f>
        <v>0</v>
      </c>
      <c r="CF23" s="20"/>
      <c r="CG23" s="28">
        <f>IF(AND(CE23&lt;5,$G$4="BASICA"),ROUND((CE23+CF23)/2,0),IF(AND(CE23&lt;6,$G$4="MEDIA"),ROUND((CE23+CF23)/2,0),CE23))</f>
        <v>0</v>
      </c>
      <c r="CH23" s="17" t="str">
        <f>IF($G$4="MEDIA",IF(CG23&gt;=6,"Aprobado","Reprobado"),IF(CG23&gt;=5,"Aprobado","Reprobado"))</f>
        <v>Reprobado</v>
      </c>
    </row>
    <row r="24" spans="1:86" customHeight="1" ht="20.25">
      <c r="A24" s="41">
        <v>12</v>
      </c>
      <c r="B24" s="3">
        <v>10103665</v>
      </c>
      <c r="C24" s="3">
        <v>4133</v>
      </c>
      <c r="D24" s="3">
        <v>26969</v>
      </c>
      <c r="E24" s="3" t="s">
        <v>49</v>
      </c>
      <c r="F24" s="42" t="s">
        <v>39</v>
      </c>
      <c r="G24" s="32"/>
      <c r="H24" s="12"/>
      <c r="I24" s="12"/>
      <c r="J24" s="12"/>
      <c r="K24" s="12"/>
      <c r="L24" s="46">
        <f>IF(OR($G$4="MEDIA",$G$4="BASICA - TERCER CICLO"),ROUND(((G24*$G$11)+(H24*$H$11)+(I24*$I$11)+(J24*$J$11)+(K24*$K$11)*100)/35%,2),ROUND((G24*$G$11)+(H24*$H$11)+(I24*$I$11)+(J24*$J$11)+(K24*$K$11),2))</f>
        <v>0</v>
      </c>
      <c r="M24" s="12"/>
      <c r="N24" s="12"/>
      <c r="O24" s="12"/>
      <c r="P24" s="12"/>
      <c r="Q24" s="12"/>
      <c r="R24" s="46">
        <f>IF(OR($G$4="MEDIA",$G$4="BASICA - TERCER CICLO"),ROUND(((M24*$M$11)+(N24*$N$11)+(O24*$O$11)+(P24*$P$11)+(Q24*$Q$11)*100)/35%,2),ROUND((M24*$M$11)+(N24*$N$11)+(O24*$O$11)+(P24*$P$11)+(Q24*$Q$11),2))</f>
        <v>0</v>
      </c>
      <c r="S24" s="12"/>
      <c r="T24" s="12"/>
      <c r="U24" s="12"/>
      <c r="V24" s="13">
        <f>IF(OR($G$4="MEDIA",$G$4="BASICA - TERCER CICLO"),ROUND(((S24*$S$11)+(T24*$T$11)+(U24*$U$11)*100)/30%,2),ROUND(((S24*$S$11)+(T24*$T$11)+(U24*$U$11)*100)/30%,2))</f>
        <v>0</v>
      </c>
      <c r="W24" s="12"/>
      <c r="X24" s="14">
        <f>IF(OR($G$4="MEDIA",$G$4="BASICA - TERCER CICLO"),ROUND((W24*$W$11),2),ROUND((W24*$W$11),0))</f>
        <v>0</v>
      </c>
      <c r="Y24" s="47">
        <f>ROUND((L24+R24+V24)/3,1)</f>
        <v>0</v>
      </c>
      <c r="Z24" s="12"/>
      <c r="AA24" s="12"/>
      <c r="AB24" s="12"/>
      <c r="AC24" s="12"/>
      <c r="AD24" s="12"/>
      <c r="AE24" s="46">
        <f>IF(OR($G$4="MEDIA",$G$4="BASICA - TERCER CICLO"),ROUND(((Z24*$Z$11)+(AA24*$AA$11)+(AB24*$AB$11)+(AC24*$AC$11)+(AD24*$AD$11)*100)/35%,2),ROUND((Z24*$Z$11)+(AA24*$AA$11)+(AB24*$AB$11)+(AC24*$AC$11)+(AD24*$AD$11),2))</f>
        <v>0</v>
      </c>
      <c r="AF24" s="12"/>
      <c r="AG24" s="12"/>
      <c r="AH24" s="12"/>
      <c r="AI24" s="12"/>
      <c r="AJ24" s="12"/>
      <c r="AK24" s="46">
        <f>IF(OR($G$4="MEDIA",$G$4="BASICA - TERCER CICLO"),ROUND(((AF24*$AF$11)+(AG24*$AG$11)+(AH24*$AH$11)+(AI24*$AI$11)+(AJ24*$AJ$11)*100)/35%,2),ROUND((AF24*$AF$11)+(AG24*$AG$11)+(AH24*$AH$11)+(AI24*$AI$11)+(AJ24*$AJ$11),2))</f>
        <v>0</v>
      </c>
      <c r="AL24" s="12"/>
      <c r="AM24" s="12"/>
      <c r="AN24" s="12"/>
      <c r="AO24" s="46">
        <f>IF(OR($G$4="MEDIA",$G$4="BASICA - TERCER CICLO"),ROUND(((AL24*$AL$11)+(AM24*$AM$11)+(AN24*$AN$11)*100)/30%,2),ROUND(((AL24*$AL$11)+(AM24*$AM$11)+(AN24*$AN$11)*100)/30%,2))</f>
        <v>0</v>
      </c>
      <c r="AP24" s="12"/>
      <c r="AQ24" s="14">
        <f>IF(OR($G$4="MEDIA",$G$4="BASICA - TERCER CICLO"),ROUND((AP24*$AP$11),2),ROUND((AP24*$AP$11),0))</f>
        <v>0</v>
      </c>
      <c r="AR24" s="47">
        <f>ROUND((AE24+AK24+AO24)/3,1)</f>
        <v>0</v>
      </c>
      <c r="AS24" s="12"/>
      <c r="AT24" s="12"/>
      <c r="AU24" s="12"/>
      <c r="AV24" s="12"/>
      <c r="AW24" s="12"/>
      <c r="AX24" s="46">
        <f>IF(OR($G$4="MEDIA",$G$4="BASICA - TERCER CICLO"),ROUND(((AS24*$AS$11)+(AT24*$AT$11)+(AU24*$AU$11)+(AV24*$AV$11)+(AW24*$AW$11)*100)/35%,2),ROUND((AS24*$AS$11)+(AT24*$AT$11)+(AU24*$AU$11)+(AV24*$AV$11)+(AW24*$AW$11),2))</f>
        <v>0</v>
      </c>
      <c r="AY24" s="12"/>
      <c r="AZ24" s="12"/>
      <c r="BA24" s="12"/>
      <c r="BB24" s="12"/>
      <c r="BC24" s="12"/>
      <c r="BD24" s="46">
        <f>IF(OR($G$4="MEDIA",$G$4="BASICA - TERCER CICLO"),ROUND(((AY24*$AY$11)+(AZ24*$AZ$11)+(BA24*$BA$11)+(BB24*$BB$11)+(BC24*$BC$11)*100)/35%,2),ROUND((AY24*$AY$11)+(AZ24*$AZ$11)+(BA24*$BA$11)+(BB24*$BB$11)+(BC24*$BC$11),2))</f>
        <v>0</v>
      </c>
      <c r="BE24" s="12"/>
      <c r="BF24" s="12"/>
      <c r="BG24" s="12"/>
      <c r="BH24" s="46">
        <f>IF(OR($G$4="MEDIA",$G$4="BASICA - TERCER CICLO"),ROUND(((BE24*$BE$11)+(BF24*$BF$11)+(BG24*$BG$11)*100)/30%,2),ROUND(((BE24*$BE$11)+(BF24*$BF$11)+(BG24*$BG$11)*100)/30%,2))</f>
        <v>0</v>
      </c>
      <c r="BI24" s="12"/>
      <c r="BJ24" s="14">
        <f>IF(OR($G$4="MEDIA",$G$4="BASICA - TERCER CICLO"),ROUND((BI24*$BI$11),2),ROUND((BI24*$BI$11),0))</f>
        <v>0</v>
      </c>
      <c r="BK24" s="47">
        <f>ROUND((AX24+BD24+BH24)/3,1)</f>
        <v>0</v>
      </c>
      <c r="BL24" s="12"/>
      <c r="BM24" s="12"/>
      <c r="BN24" s="12"/>
      <c r="BO24" s="12"/>
      <c r="BP24" s="12"/>
      <c r="BQ24" s="13">
        <f>IF(OR($G$4="MEDIA",$G$4="BASICA - TERCER CICLO"),ROUND(((BL24*$BL$11)+(BM24*$BM$11)+(BN24*$BN$11)+(BO24*$BO$11)+(BP24*$BP$11)*100)/35%,2),ROUND(((BL24*$BL$11)+(BM24*$BM$11)+(BN24*$BN$11)+(BO24*$BO$11)+(BP24*$BP$11)*100)/35%,2))</f>
        <v>0</v>
      </c>
      <c r="BR24" s="12"/>
      <c r="BS24" s="12"/>
      <c r="BT24" s="12"/>
      <c r="BU24" s="12"/>
      <c r="BV24" s="12"/>
      <c r="BW24" s="13">
        <f>IF(OR($G$4="MEDIA",$G$4="BASICA - TERCER CICLO"),ROUND(((BR24*$BR$11)+(BS24*$BS$11)+(BT24*$BT$11)+(BU24*$BU$11)+(BV24*$BV$11)*100)/35%,2),ROUND(((BR24*$BR$11)+(BS24*$BS$11)+(BT24*$BT$11)+(BU24*$BU$11)+(BV24*$BP$11)*100)/35%,2))</f>
        <v>0</v>
      </c>
      <c r="BX24" s="12"/>
      <c r="BY24" s="12"/>
      <c r="BZ24" s="12"/>
      <c r="CA24" s="13">
        <f>IF(OR($G$4="MEDIA",$G$4="BASICA - TERCER CICLO"),ROUND(((BX24*$BX$11)+(BY24*$BY$11)+(BZ24*$BZ$11)*100)/30%,2),ROUND(((BX24*$BX$11)+(BY24*$BY$11)+(BZ24*$BZ$11)*100)/30%,2))</f>
        <v>0</v>
      </c>
      <c r="CB24" s="12"/>
      <c r="CC24" s="14">
        <f>IF(OR($G$4="MEDIA",$G$4="BASICA - TERCER CICLO"),ROUND((CB24*$BI$11),2),ROUND((CB24*$BI$11),0))</f>
        <v>0</v>
      </c>
      <c r="CD24" s="28">
        <f>IF(OR($G$4="MEDIA",$G$4="BASICA - TERCER CICLO"),ROUND((BQ24+BW24+CA24+CC24),1),IF($G$4="BASICA",ROUND((BQ24+BW24+CA24+CC24),0),ROUND((BQ24+BW24+CA24+CC24),1)))</f>
        <v>0</v>
      </c>
      <c r="CE24" s="28">
        <f>IF($G$4 = "MEDIA",ROUND(((Y24+AR24+BK24+CD24)/4),0),ROUND(((Y24+AR24+BK24)/3),0))</f>
        <v>0</v>
      </c>
      <c r="CF24" s="21"/>
      <c r="CG24" s="28">
        <f>IF(AND(CE24&lt;5,$G$4="BASICA"),ROUND((CE24+CF24)/2,0),IF(AND(CE24&lt;6,$G$4="MEDIA"),ROUND((CE24+CF24)/2,0),CE24))</f>
        <v>0</v>
      </c>
      <c r="CH24" s="16" t="str">
        <f>IF($G$4="MEDIA",IF(CG24&gt;=6,"Aprobado","Reprobado"),IF(CG24&gt;=5,"Aprobado","Reprobado"))</f>
        <v>Reprobado</v>
      </c>
    </row>
    <row r="25" spans="1:86" customHeight="1" ht="20.25">
      <c r="A25" s="39">
        <v>13</v>
      </c>
      <c r="B25" s="2">
        <v>10399188</v>
      </c>
      <c r="C25" s="2">
        <v>5227</v>
      </c>
      <c r="D25" s="2">
        <v>26958</v>
      </c>
      <c r="E25" s="2" t="s">
        <v>50</v>
      </c>
      <c r="F25" s="40" t="s">
        <v>37</v>
      </c>
      <c r="G25" s="31"/>
      <c r="H25" s="7"/>
      <c r="I25" s="7"/>
      <c r="J25" s="7"/>
      <c r="K25" s="7"/>
      <c r="L25" s="46">
        <f>IF(OR($G$4="MEDIA",$G$4="BASICA - TERCER CICLO"),ROUND(((G25*$G$11)+(H25*$H$11)+(I25*$I$11)+(J25*$J$11)+(K25*$K$11)*100)/35%,2),ROUND((G25*$G$11)+(H25*$H$11)+(I25*$I$11)+(J25*$J$11)+(K25*$K$11),2))</f>
        <v>0</v>
      </c>
      <c r="M25" s="7"/>
      <c r="N25" s="7"/>
      <c r="O25" s="7"/>
      <c r="P25" s="7"/>
      <c r="Q25" s="7"/>
      <c r="R25" s="46">
        <f>IF(OR($G$4="MEDIA",$G$4="BASICA - TERCER CICLO"),ROUND(((M25*$M$11)+(N25*$N$11)+(O25*$O$11)+(P25*$P$11)+(Q25*$Q$11)*100)/35%,2),ROUND((M25*$M$11)+(N25*$N$11)+(O25*$O$11)+(P25*$P$11)+(Q25*$Q$11),2))</f>
        <v>0</v>
      </c>
      <c r="S25" s="7"/>
      <c r="T25" s="7"/>
      <c r="U25" s="7"/>
      <c r="V25" s="13">
        <f>IF(OR($G$4="MEDIA",$G$4="BASICA - TERCER CICLO"),ROUND(((S25*$S$11)+(T25*$T$11)+(U25*$U$11)*100)/30%,2),ROUND(((S25*$S$11)+(T25*$T$11)+(U25*$U$11)*100)/30%,2))</f>
        <v>0</v>
      </c>
      <c r="W25" s="7"/>
      <c r="X25" s="14">
        <f>IF(OR($G$4="MEDIA",$G$4="BASICA - TERCER CICLO"),ROUND((W25*$W$11),2),ROUND((W25*$W$11),0))</f>
        <v>0</v>
      </c>
      <c r="Y25" s="47">
        <f>ROUND((L25+R25+V25)/3,1)</f>
        <v>0</v>
      </c>
      <c r="Z25" s="7"/>
      <c r="AA25" s="7"/>
      <c r="AB25" s="7"/>
      <c r="AC25" s="7"/>
      <c r="AD25" s="7"/>
      <c r="AE25" s="46">
        <f>IF(OR($G$4="MEDIA",$G$4="BASICA - TERCER CICLO"),ROUND(((Z25*$Z$11)+(AA25*$AA$11)+(AB25*$AB$11)+(AC25*$AC$11)+(AD25*$AD$11)*100)/35%,2),ROUND((Z25*$Z$11)+(AA25*$AA$11)+(AB25*$AB$11)+(AC25*$AC$11)+(AD25*$AD$11),2))</f>
        <v>0</v>
      </c>
      <c r="AF25" s="7"/>
      <c r="AG25" s="7"/>
      <c r="AH25" s="7"/>
      <c r="AI25" s="7"/>
      <c r="AJ25" s="7"/>
      <c r="AK25" s="46">
        <f>IF(OR($G$4="MEDIA",$G$4="BASICA - TERCER CICLO"),ROUND(((AF25*$AF$11)+(AG25*$AG$11)+(AH25*$AH$11)+(AI25*$AI$11)+(AJ25*$AJ$11)*100)/35%,2),ROUND((AF25*$AF$11)+(AG25*$AG$11)+(AH25*$AH$11)+(AI25*$AI$11)+(AJ25*$AJ$11),2))</f>
        <v>0</v>
      </c>
      <c r="AL25" s="7"/>
      <c r="AM25" s="7"/>
      <c r="AN25" s="7"/>
      <c r="AO25" s="46">
        <f>IF(OR($G$4="MEDIA",$G$4="BASICA - TERCER CICLO"),ROUND(((AL25*$AL$11)+(AM25*$AM$11)+(AN25*$AN$11)*100)/30%,2),ROUND(((AL25*$AL$11)+(AM25*$AM$11)+(AN25*$AN$11)*100)/30%,2))</f>
        <v>0</v>
      </c>
      <c r="AP25" s="7"/>
      <c r="AQ25" s="14">
        <f>IF(OR($G$4="MEDIA",$G$4="BASICA - TERCER CICLO"),ROUND((AP25*$AP$11),2),ROUND((AP25*$AP$11),0))</f>
        <v>0</v>
      </c>
      <c r="AR25" s="47">
        <f>ROUND((AE25+AK25+AO25)/3,1)</f>
        <v>0</v>
      </c>
      <c r="AS25" s="7"/>
      <c r="AT25" s="7"/>
      <c r="AU25" s="7"/>
      <c r="AV25" s="7"/>
      <c r="AW25" s="7"/>
      <c r="AX25" s="46">
        <f>IF(OR($G$4="MEDIA",$G$4="BASICA - TERCER CICLO"),ROUND(((AS25*$AS$11)+(AT25*$AT$11)+(AU25*$AU$11)+(AV25*$AV$11)+(AW25*$AW$11)*100)/35%,2),ROUND((AS25*$AS$11)+(AT25*$AT$11)+(AU25*$AU$11)+(AV25*$AV$11)+(AW25*$AW$11),2))</f>
        <v>0</v>
      </c>
      <c r="AY25" s="7"/>
      <c r="AZ25" s="7"/>
      <c r="BA25" s="7"/>
      <c r="BB25" s="7"/>
      <c r="BC25" s="7"/>
      <c r="BD25" s="46">
        <f>IF(OR($G$4="MEDIA",$G$4="BASICA - TERCER CICLO"),ROUND(((AY25*$AY$11)+(AZ25*$AZ$11)+(BA25*$BA$11)+(BB25*$BB$11)+(BC25*$BC$11)*100)/35%,2),ROUND((AY25*$AY$11)+(AZ25*$AZ$11)+(BA25*$BA$11)+(BB25*$BB$11)+(BC25*$BC$11),2))</f>
        <v>0</v>
      </c>
      <c r="BE25" s="7"/>
      <c r="BF25" s="7"/>
      <c r="BG25" s="7"/>
      <c r="BH25" s="46">
        <f>IF(OR($G$4="MEDIA",$G$4="BASICA - TERCER CICLO"),ROUND(((BE25*$BE$11)+(BF25*$BF$11)+(BG25*$BG$11)*100)/30%,2),ROUND(((BE25*$BE$11)+(BF25*$BF$11)+(BG25*$BG$11)*100)/30%,2))</f>
        <v>0</v>
      </c>
      <c r="BI25" s="7"/>
      <c r="BJ25" s="14">
        <f>IF(OR($G$4="MEDIA",$G$4="BASICA - TERCER CICLO"),ROUND((BI25*$BI$11),2),ROUND((BI25*$BI$11),0))</f>
        <v>0</v>
      </c>
      <c r="BK25" s="47">
        <f>ROUND((AX25+BD25+BH25)/3,1)</f>
        <v>0</v>
      </c>
      <c r="BL25" s="7"/>
      <c r="BM25" s="7"/>
      <c r="BN25" s="7"/>
      <c r="BO25" s="7"/>
      <c r="BP25" s="7"/>
      <c r="BQ25" s="13">
        <f>IF(OR($G$4="MEDIA",$G$4="BASICA - TERCER CICLO"),ROUND(((BL25*$BL$11)+(BM25*$BM$11)+(BN25*$BN$11)+(BO25*$BO$11)+(BP25*$BP$11)*100)/35%,2),ROUND(((BL25*$BL$11)+(BM25*$BM$11)+(BN25*$BN$11)+(BO25*$BO$11)+(BP25*$BP$11)*100)/35%,2))</f>
        <v>0</v>
      </c>
      <c r="BR25" s="7"/>
      <c r="BS25" s="7"/>
      <c r="BT25" s="7"/>
      <c r="BU25" s="7"/>
      <c r="BV25" s="7"/>
      <c r="BW25" s="13">
        <f>IF(OR($G$4="MEDIA",$G$4="BASICA - TERCER CICLO"),ROUND(((BR25*$BR$11)+(BS25*$BS$11)+(BT25*$BT$11)+(BU25*$BU$11)+(BV25*$BV$11)*100)/35%,2),ROUND(((BR25*$BR$11)+(BS25*$BS$11)+(BT25*$BT$11)+(BU25*$BU$11)+(BV25*$BP$11)*100)/35%,2))</f>
        <v>0</v>
      </c>
      <c r="BX25" s="7"/>
      <c r="BY25" s="7"/>
      <c r="BZ25" s="7"/>
      <c r="CA25" s="13">
        <f>IF(OR($G$4="MEDIA",$G$4="BASICA - TERCER CICLO"),ROUND(((BX25*$BX$11)+(BY25*$BY$11)+(BZ25*$BZ$11)*100)/30%,2),ROUND(((BX25*$BX$11)+(BY25*$BY$11)+(BZ25*$BZ$11)*100)/30%,2))</f>
        <v>0</v>
      </c>
      <c r="CB25" s="7"/>
      <c r="CC25" s="14">
        <f>IF(OR($G$4="MEDIA",$G$4="BASICA - TERCER CICLO"),ROUND((CB25*$BI$11),2),ROUND((CB25*$BI$11),0))</f>
        <v>0</v>
      </c>
      <c r="CD25" s="28">
        <f>IF(OR($G$4="MEDIA",$G$4="BASICA - TERCER CICLO"),ROUND((BQ25+BW25+CA25+CC25),1),IF($G$4="BASICA",ROUND((BQ25+BW25+CA25+CC25),0),ROUND((BQ25+BW25+CA25+CC25),1)))</f>
        <v>0</v>
      </c>
      <c r="CE25" s="28">
        <f>IF($G$4 = "MEDIA",ROUND(((Y25+AR25+BK25+CD25)/4),0),ROUND(((Y25+AR25+BK25)/3),0))</f>
        <v>0</v>
      </c>
      <c r="CF25" s="20"/>
      <c r="CG25" s="28">
        <f>IF(AND(CE25&lt;5,$G$4="BASICA"),ROUND((CE25+CF25)/2,0),IF(AND(CE25&lt;6,$G$4="MEDIA"),ROUND((CE25+CF25)/2,0),CE25))</f>
        <v>0</v>
      </c>
      <c r="CH25" s="17" t="str">
        <f>IF($G$4="MEDIA",IF(CG25&gt;=6,"Aprobado","Reprobado"),IF(CG25&gt;=5,"Aprobado","Reprobado"))</f>
        <v>Reprobado</v>
      </c>
    </row>
    <row r="26" spans="1:86" customHeight="1" ht="20.25">
      <c r="A26" s="41">
        <v>14</v>
      </c>
      <c r="B26" s="3">
        <v>10523036</v>
      </c>
      <c r="C26" s="3">
        <v>4630</v>
      </c>
      <c r="D26" s="3">
        <v>26959</v>
      </c>
      <c r="E26" s="3" t="s">
        <v>51</v>
      </c>
      <c r="F26" s="42" t="s">
        <v>39</v>
      </c>
      <c r="G26" s="32"/>
      <c r="H26" s="12"/>
      <c r="I26" s="12"/>
      <c r="J26" s="12"/>
      <c r="K26" s="12"/>
      <c r="L26" s="46">
        <f>IF(OR($G$4="MEDIA",$G$4="BASICA - TERCER CICLO"),ROUND(((G26*$G$11)+(H26*$H$11)+(I26*$I$11)+(J26*$J$11)+(K26*$K$11)*100)/35%,2),ROUND((G26*$G$11)+(H26*$H$11)+(I26*$I$11)+(J26*$J$11)+(K26*$K$11),2))</f>
        <v>0</v>
      </c>
      <c r="M26" s="12"/>
      <c r="N26" s="12"/>
      <c r="O26" s="12"/>
      <c r="P26" s="12"/>
      <c r="Q26" s="12"/>
      <c r="R26" s="46">
        <f>IF(OR($G$4="MEDIA",$G$4="BASICA - TERCER CICLO"),ROUND(((M26*$M$11)+(N26*$N$11)+(O26*$O$11)+(P26*$P$11)+(Q26*$Q$11)*100)/35%,2),ROUND((M26*$M$11)+(N26*$N$11)+(O26*$O$11)+(P26*$P$11)+(Q26*$Q$11),2))</f>
        <v>0</v>
      </c>
      <c r="S26" s="12"/>
      <c r="T26" s="12"/>
      <c r="U26" s="12"/>
      <c r="V26" s="13">
        <f>IF(OR($G$4="MEDIA",$G$4="BASICA - TERCER CICLO"),ROUND(((S26*$S$11)+(T26*$T$11)+(U26*$U$11)*100)/30%,2),ROUND(((S26*$S$11)+(T26*$T$11)+(U26*$U$11)*100)/30%,2))</f>
        <v>0</v>
      </c>
      <c r="W26" s="12"/>
      <c r="X26" s="14">
        <f>IF(OR($G$4="MEDIA",$G$4="BASICA - TERCER CICLO"),ROUND((W26*$W$11),2),ROUND((W26*$W$11),0))</f>
        <v>0</v>
      </c>
      <c r="Y26" s="47">
        <f>ROUND((L26+R26+V26)/3,1)</f>
        <v>0</v>
      </c>
      <c r="Z26" s="12"/>
      <c r="AA26" s="12"/>
      <c r="AB26" s="12"/>
      <c r="AC26" s="12"/>
      <c r="AD26" s="12"/>
      <c r="AE26" s="46">
        <f>IF(OR($G$4="MEDIA",$G$4="BASICA - TERCER CICLO"),ROUND(((Z26*$Z$11)+(AA26*$AA$11)+(AB26*$AB$11)+(AC26*$AC$11)+(AD26*$AD$11)*100)/35%,2),ROUND((Z26*$Z$11)+(AA26*$AA$11)+(AB26*$AB$11)+(AC26*$AC$11)+(AD26*$AD$11),2))</f>
        <v>0</v>
      </c>
      <c r="AF26" s="12"/>
      <c r="AG26" s="12"/>
      <c r="AH26" s="12"/>
      <c r="AI26" s="12"/>
      <c r="AJ26" s="12"/>
      <c r="AK26" s="46">
        <f>IF(OR($G$4="MEDIA",$G$4="BASICA - TERCER CICLO"),ROUND(((AF26*$AF$11)+(AG26*$AG$11)+(AH26*$AH$11)+(AI26*$AI$11)+(AJ26*$AJ$11)*100)/35%,2),ROUND((AF26*$AF$11)+(AG26*$AG$11)+(AH26*$AH$11)+(AI26*$AI$11)+(AJ26*$AJ$11),2))</f>
        <v>0</v>
      </c>
      <c r="AL26" s="12"/>
      <c r="AM26" s="12"/>
      <c r="AN26" s="12"/>
      <c r="AO26" s="46">
        <f>IF(OR($G$4="MEDIA",$G$4="BASICA - TERCER CICLO"),ROUND(((AL26*$AL$11)+(AM26*$AM$11)+(AN26*$AN$11)*100)/30%,2),ROUND(((AL26*$AL$11)+(AM26*$AM$11)+(AN26*$AN$11)*100)/30%,2))</f>
        <v>0</v>
      </c>
      <c r="AP26" s="12"/>
      <c r="AQ26" s="14">
        <f>IF(OR($G$4="MEDIA",$G$4="BASICA - TERCER CICLO"),ROUND((AP26*$AP$11),2),ROUND((AP26*$AP$11),0))</f>
        <v>0</v>
      </c>
      <c r="AR26" s="47">
        <f>ROUND((AE26+AK26+AO26)/3,1)</f>
        <v>0</v>
      </c>
      <c r="AS26" s="12"/>
      <c r="AT26" s="12"/>
      <c r="AU26" s="12"/>
      <c r="AV26" s="12"/>
      <c r="AW26" s="12"/>
      <c r="AX26" s="46">
        <f>IF(OR($G$4="MEDIA",$G$4="BASICA - TERCER CICLO"),ROUND(((AS26*$AS$11)+(AT26*$AT$11)+(AU26*$AU$11)+(AV26*$AV$11)+(AW26*$AW$11)*100)/35%,2),ROUND((AS26*$AS$11)+(AT26*$AT$11)+(AU26*$AU$11)+(AV26*$AV$11)+(AW26*$AW$11),2))</f>
        <v>0</v>
      </c>
      <c r="AY26" s="12"/>
      <c r="AZ26" s="12"/>
      <c r="BA26" s="12"/>
      <c r="BB26" s="12"/>
      <c r="BC26" s="12"/>
      <c r="BD26" s="46">
        <f>IF(OR($G$4="MEDIA",$G$4="BASICA - TERCER CICLO"),ROUND(((AY26*$AY$11)+(AZ26*$AZ$11)+(BA26*$BA$11)+(BB26*$BB$11)+(BC26*$BC$11)*100)/35%,2),ROUND((AY26*$AY$11)+(AZ26*$AZ$11)+(BA26*$BA$11)+(BB26*$BB$11)+(BC26*$BC$11),2))</f>
        <v>0</v>
      </c>
      <c r="BE26" s="12"/>
      <c r="BF26" s="12"/>
      <c r="BG26" s="12"/>
      <c r="BH26" s="46">
        <f>IF(OR($G$4="MEDIA",$G$4="BASICA - TERCER CICLO"),ROUND(((BE26*$BE$11)+(BF26*$BF$11)+(BG26*$BG$11)*100)/30%,2),ROUND(((BE26*$BE$11)+(BF26*$BF$11)+(BG26*$BG$11)*100)/30%,2))</f>
        <v>0</v>
      </c>
      <c r="BI26" s="12"/>
      <c r="BJ26" s="14">
        <f>IF(OR($G$4="MEDIA",$G$4="BASICA - TERCER CICLO"),ROUND((BI26*$BI$11),2),ROUND((BI26*$BI$11),0))</f>
        <v>0</v>
      </c>
      <c r="BK26" s="47">
        <f>ROUND((AX26+BD26+BH26)/3,1)</f>
        <v>0</v>
      </c>
      <c r="BL26" s="12"/>
      <c r="BM26" s="12"/>
      <c r="BN26" s="12"/>
      <c r="BO26" s="12"/>
      <c r="BP26" s="12"/>
      <c r="BQ26" s="13">
        <f>IF(OR($G$4="MEDIA",$G$4="BASICA - TERCER CICLO"),ROUND(((BL26*$BL$11)+(BM26*$BM$11)+(BN26*$BN$11)+(BO26*$BO$11)+(BP26*$BP$11)*100)/35%,2),ROUND(((BL26*$BL$11)+(BM26*$BM$11)+(BN26*$BN$11)+(BO26*$BO$11)+(BP26*$BP$11)*100)/35%,2))</f>
        <v>0</v>
      </c>
      <c r="BR26" s="12"/>
      <c r="BS26" s="12"/>
      <c r="BT26" s="12"/>
      <c r="BU26" s="12"/>
      <c r="BV26" s="12"/>
      <c r="BW26" s="13">
        <f>IF(OR($G$4="MEDIA",$G$4="BASICA - TERCER CICLO"),ROUND(((BR26*$BR$11)+(BS26*$BS$11)+(BT26*$BT$11)+(BU26*$BU$11)+(BV26*$BV$11)*100)/35%,2),ROUND(((BR26*$BR$11)+(BS26*$BS$11)+(BT26*$BT$11)+(BU26*$BU$11)+(BV26*$BP$11)*100)/35%,2))</f>
        <v>0</v>
      </c>
      <c r="BX26" s="12"/>
      <c r="BY26" s="12"/>
      <c r="BZ26" s="12"/>
      <c r="CA26" s="13">
        <f>IF(OR($G$4="MEDIA",$G$4="BASICA - TERCER CICLO"),ROUND(((BX26*$BX$11)+(BY26*$BY$11)+(BZ26*$BZ$11)*100)/30%,2),ROUND(((BX26*$BX$11)+(BY26*$BY$11)+(BZ26*$BZ$11)*100)/30%,2))</f>
        <v>0</v>
      </c>
      <c r="CB26" s="12"/>
      <c r="CC26" s="14">
        <f>IF(OR($G$4="MEDIA",$G$4="BASICA - TERCER CICLO"),ROUND((CB26*$BI$11),2),ROUND((CB26*$BI$11),0))</f>
        <v>0</v>
      </c>
      <c r="CD26" s="28">
        <f>IF(OR($G$4="MEDIA",$G$4="BASICA - TERCER CICLO"),ROUND((BQ26+BW26+CA26+CC26),1),IF($G$4="BASICA",ROUND((BQ26+BW26+CA26+CC26),0),ROUND((BQ26+BW26+CA26+CC26),1)))</f>
        <v>0</v>
      </c>
      <c r="CE26" s="28">
        <f>IF($G$4 = "MEDIA",ROUND(((Y26+AR26+BK26+CD26)/4),0),ROUND(((Y26+AR26+BK26)/3),0))</f>
        <v>0</v>
      </c>
      <c r="CF26" s="21"/>
      <c r="CG26" s="28">
        <f>IF(AND(CE26&lt;5,$G$4="BASICA"),ROUND((CE26+CF26)/2,0),IF(AND(CE26&lt;6,$G$4="MEDIA"),ROUND((CE26+CF26)/2,0),CE26))</f>
        <v>0</v>
      </c>
      <c r="CH26" s="16" t="str">
        <f>IF($G$4="MEDIA",IF(CG26&gt;=6,"Aprobado","Reprobado"),IF(CG26&gt;=5,"Aprobado","Reprobado"))</f>
        <v>Reprobado</v>
      </c>
    </row>
    <row r="27" spans="1:86" customHeight="1" ht="20.25">
      <c r="A27" s="39">
        <v>15</v>
      </c>
      <c r="B27" s="2">
        <v>10417505</v>
      </c>
      <c r="C27" s="2">
        <v>5762</v>
      </c>
      <c r="D27" s="2">
        <v>26995</v>
      </c>
      <c r="E27" s="2" t="s">
        <v>52</v>
      </c>
      <c r="F27" s="40" t="s">
        <v>37</v>
      </c>
      <c r="G27" s="31"/>
      <c r="H27" s="7"/>
      <c r="I27" s="7"/>
      <c r="J27" s="7"/>
      <c r="K27" s="7"/>
      <c r="L27" s="46">
        <f>IF(OR($G$4="MEDIA",$G$4="BASICA - TERCER CICLO"),ROUND(((G27*$G$11)+(H27*$H$11)+(I27*$I$11)+(J27*$J$11)+(K27*$K$11)*100)/35%,2),ROUND((G27*$G$11)+(H27*$H$11)+(I27*$I$11)+(J27*$J$11)+(K27*$K$11),2))</f>
        <v>0</v>
      </c>
      <c r="M27" s="7"/>
      <c r="N27" s="7"/>
      <c r="O27" s="7"/>
      <c r="P27" s="7"/>
      <c r="Q27" s="7"/>
      <c r="R27" s="46">
        <f>IF(OR($G$4="MEDIA",$G$4="BASICA - TERCER CICLO"),ROUND(((M27*$M$11)+(N27*$N$11)+(O27*$O$11)+(P27*$P$11)+(Q27*$Q$11)*100)/35%,2),ROUND((M27*$M$11)+(N27*$N$11)+(O27*$O$11)+(P27*$P$11)+(Q27*$Q$11),2))</f>
        <v>0</v>
      </c>
      <c r="S27" s="7"/>
      <c r="T27" s="7"/>
      <c r="U27" s="7"/>
      <c r="V27" s="13">
        <f>IF(OR($G$4="MEDIA",$G$4="BASICA - TERCER CICLO"),ROUND(((S27*$S$11)+(T27*$T$11)+(U27*$U$11)*100)/30%,2),ROUND(((S27*$S$11)+(T27*$T$11)+(U27*$U$11)*100)/30%,2))</f>
        <v>0</v>
      </c>
      <c r="W27" s="7"/>
      <c r="X27" s="14">
        <f>IF(OR($G$4="MEDIA",$G$4="BASICA - TERCER CICLO"),ROUND((W27*$W$11),2),ROUND((W27*$W$11),0))</f>
        <v>0</v>
      </c>
      <c r="Y27" s="47">
        <f>ROUND((L27+R27+V27)/3,1)</f>
        <v>0</v>
      </c>
      <c r="Z27" s="7"/>
      <c r="AA27" s="7"/>
      <c r="AB27" s="7"/>
      <c r="AC27" s="7"/>
      <c r="AD27" s="7"/>
      <c r="AE27" s="46">
        <f>IF(OR($G$4="MEDIA",$G$4="BASICA - TERCER CICLO"),ROUND(((Z27*$Z$11)+(AA27*$AA$11)+(AB27*$AB$11)+(AC27*$AC$11)+(AD27*$AD$11)*100)/35%,2),ROUND((Z27*$Z$11)+(AA27*$AA$11)+(AB27*$AB$11)+(AC27*$AC$11)+(AD27*$AD$11),2))</f>
        <v>0</v>
      </c>
      <c r="AF27" s="7"/>
      <c r="AG27" s="7"/>
      <c r="AH27" s="7"/>
      <c r="AI27" s="7"/>
      <c r="AJ27" s="7"/>
      <c r="AK27" s="46">
        <f>IF(OR($G$4="MEDIA",$G$4="BASICA - TERCER CICLO"),ROUND(((AF27*$AF$11)+(AG27*$AG$11)+(AH27*$AH$11)+(AI27*$AI$11)+(AJ27*$AJ$11)*100)/35%,2),ROUND((AF27*$AF$11)+(AG27*$AG$11)+(AH27*$AH$11)+(AI27*$AI$11)+(AJ27*$AJ$11),2))</f>
        <v>0</v>
      </c>
      <c r="AL27" s="7"/>
      <c r="AM27" s="7"/>
      <c r="AN27" s="7"/>
      <c r="AO27" s="46">
        <f>IF(OR($G$4="MEDIA",$G$4="BASICA - TERCER CICLO"),ROUND(((AL27*$AL$11)+(AM27*$AM$11)+(AN27*$AN$11)*100)/30%,2),ROUND(((AL27*$AL$11)+(AM27*$AM$11)+(AN27*$AN$11)*100)/30%,2))</f>
        <v>0</v>
      </c>
      <c r="AP27" s="7"/>
      <c r="AQ27" s="14">
        <f>IF(OR($G$4="MEDIA",$G$4="BASICA - TERCER CICLO"),ROUND((AP27*$AP$11),2),ROUND((AP27*$AP$11),0))</f>
        <v>0</v>
      </c>
      <c r="AR27" s="47">
        <f>ROUND((AE27+AK27+AO27)/3,1)</f>
        <v>0</v>
      </c>
      <c r="AS27" s="7"/>
      <c r="AT27" s="7"/>
      <c r="AU27" s="7"/>
      <c r="AV27" s="7"/>
      <c r="AW27" s="7"/>
      <c r="AX27" s="46">
        <f>IF(OR($G$4="MEDIA",$G$4="BASICA - TERCER CICLO"),ROUND(((AS27*$AS$11)+(AT27*$AT$11)+(AU27*$AU$11)+(AV27*$AV$11)+(AW27*$AW$11)*100)/35%,2),ROUND((AS27*$AS$11)+(AT27*$AT$11)+(AU27*$AU$11)+(AV27*$AV$11)+(AW27*$AW$11),2))</f>
        <v>0</v>
      </c>
      <c r="AY27" s="7"/>
      <c r="AZ27" s="7"/>
      <c r="BA27" s="7"/>
      <c r="BB27" s="7"/>
      <c r="BC27" s="7"/>
      <c r="BD27" s="46">
        <f>IF(OR($G$4="MEDIA",$G$4="BASICA - TERCER CICLO"),ROUND(((AY27*$AY$11)+(AZ27*$AZ$11)+(BA27*$BA$11)+(BB27*$BB$11)+(BC27*$BC$11)*100)/35%,2),ROUND((AY27*$AY$11)+(AZ27*$AZ$11)+(BA27*$BA$11)+(BB27*$BB$11)+(BC27*$BC$11),2))</f>
        <v>0</v>
      </c>
      <c r="BE27" s="7"/>
      <c r="BF27" s="7"/>
      <c r="BG27" s="7"/>
      <c r="BH27" s="46">
        <f>IF(OR($G$4="MEDIA",$G$4="BASICA - TERCER CICLO"),ROUND(((BE27*$BE$11)+(BF27*$BF$11)+(BG27*$BG$11)*100)/30%,2),ROUND(((BE27*$BE$11)+(BF27*$BF$11)+(BG27*$BG$11)*100)/30%,2))</f>
        <v>0</v>
      </c>
      <c r="BI27" s="7"/>
      <c r="BJ27" s="14">
        <f>IF(OR($G$4="MEDIA",$G$4="BASICA - TERCER CICLO"),ROUND((BI27*$BI$11),2),ROUND((BI27*$BI$11),0))</f>
        <v>0</v>
      </c>
      <c r="BK27" s="47">
        <f>ROUND((AX27+BD27+BH27)/3,1)</f>
        <v>0</v>
      </c>
      <c r="BL27" s="7"/>
      <c r="BM27" s="7"/>
      <c r="BN27" s="7"/>
      <c r="BO27" s="7"/>
      <c r="BP27" s="7"/>
      <c r="BQ27" s="13">
        <f>IF(OR($G$4="MEDIA",$G$4="BASICA - TERCER CICLO"),ROUND(((BL27*$BL$11)+(BM27*$BM$11)+(BN27*$BN$11)+(BO27*$BO$11)+(BP27*$BP$11)*100)/35%,2),ROUND(((BL27*$BL$11)+(BM27*$BM$11)+(BN27*$BN$11)+(BO27*$BO$11)+(BP27*$BP$11)*100)/35%,2))</f>
        <v>0</v>
      </c>
      <c r="BR27" s="7"/>
      <c r="BS27" s="7"/>
      <c r="BT27" s="7"/>
      <c r="BU27" s="7"/>
      <c r="BV27" s="7"/>
      <c r="BW27" s="13">
        <f>IF(OR($G$4="MEDIA",$G$4="BASICA - TERCER CICLO"),ROUND(((BR27*$BR$11)+(BS27*$BS$11)+(BT27*$BT$11)+(BU27*$BU$11)+(BV27*$BV$11)*100)/35%,2),ROUND(((BR27*$BR$11)+(BS27*$BS$11)+(BT27*$BT$11)+(BU27*$BU$11)+(BV27*$BP$11)*100)/35%,2))</f>
        <v>0</v>
      </c>
      <c r="BX27" s="7"/>
      <c r="BY27" s="7"/>
      <c r="BZ27" s="7"/>
      <c r="CA27" s="13">
        <f>IF(OR($G$4="MEDIA",$G$4="BASICA - TERCER CICLO"),ROUND(((BX27*$BX$11)+(BY27*$BY$11)+(BZ27*$BZ$11)*100)/30%,2),ROUND(((BX27*$BX$11)+(BY27*$BY$11)+(BZ27*$BZ$11)*100)/30%,2))</f>
        <v>0</v>
      </c>
      <c r="CB27" s="7"/>
      <c r="CC27" s="14">
        <f>IF(OR($G$4="MEDIA",$G$4="BASICA - TERCER CICLO"),ROUND((CB27*$BI$11),2),ROUND((CB27*$BI$11),0))</f>
        <v>0</v>
      </c>
      <c r="CD27" s="28">
        <f>IF(OR($G$4="MEDIA",$G$4="BASICA - TERCER CICLO"),ROUND((BQ27+BW27+CA27+CC27),1),IF($G$4="BASICA",ROUND((BQ27+BW27+CA27+CC27),0),ROUND((BQ27+BW27+CA27+CC27),1)))</f>
        <v>0</v>
      </c>
      <c r="CE27" s="28">
        <f>IF($G$4 = "MEDIA",ROUND(((Y27+AR27+BK27+CD27)/4),0),ROUND(((Y27+AR27+BK27)/3),0))</f>
        <v>0</v>
      </c>
      <c r="CF27" s="20"/>
      <c r="CG27" s="28">
        <f>IF(AND(CE27&lt;5,$G$4="BASICA"),ROUND((CE27+CF27)/2,0),IF(AND(CE27&lt;6,$G$4="MEDIA"),ROUND((CE27+CF27)/2,0),CE27))</f>
        <v>0</v>
      </c>
      <c r="CH27" s="17" t="str">
        <f>IF($G$4="MEDIA",IF(CG27&gt;=6,"Aprobado","Reprobado"),IF(CG27&gt;=5,"Aprobado","Reprobado"))</f>
        <v>Reprobado</v>
      </c>
    </row>
    <row r="28" spans="1:86" customHeight="1" ht="20.25">
      <c r="A28" s="41">
        <v>16</v>
      </c>
      <c r="B28" s="3">
        <v>10335733</v>
      </c>
      <c r="C28" s="3">
        <v>5123</v>
      </c>
      <c r="D28" s="3">
        <v>26960</v>
      </c>
      <c r="E28" s="3" t="s">
        <v>53</v>
      </c>
      <c r="F28" s="42" t="s">
        <v>37</v>
      </c>
      <c r="G28" s="32"/>
      <c r="H28" s="12"/>
      <c r="I28" s="12"/>
      <c r="J28" s="12"/>
      <c r="K28" s="12"/>
      <c r="L28" s="46">
        <f>IF(OR($G$4="MEDIA",$G$4="BASICA - TERCER CICLO"),ROUND(((G28*$G$11)+(H28*$H$11)+(I28*$I$11)+(J28*$J$11)+(K28*$K$11)*100)/35%,2),ROUND((G28*$G$11)+(H28*$H$11)+(I28*$I$11)+(J28*$J$11)+(K28*$K$11),2))</f>
        <v>0</v>
      </c>
      <c r="M28" s="12"/>
      <c r="N28" s="12"/>
      <c r="O28" s="12"/>
      <c r="P28" s="12"/>
      <c r="Q28" s="12"/>
      <c r="R28" s="46">
        <f>IF(OR($G$4="MEDIA",$G$4="BASICA - TERCER CICLO"),ROUND(((M28*$M$11)+(N28*$N$11)+(O28*$O$11)+(P28*$P$11)+(Q28*$Q$11)*100)/35%,2),ROUND((M28*$M$11)+(N28*$N$11)+(O28*$O$11)+(P28*$P$11)+(Q28*$Q$11),2))</f>
        <v>0</v>
      </c>
      <c r="S28" s="12"/>
      <c r="T28" s="12"/>
      <c r="U28" s="12"/>
      <c r="V28" s="13">
        <f>IF(OR($G$4="MEDIA",$G$4="BASICA - TERCER CICLO"),ROUND(((S28*$S$11)+(T28*$T$11)+(U28*$U$11)*100)/30%,2),ROUND(((S28*$S$11)+(T28*$T$11)+(U28*$U$11)*100)/30%,2))</f>
        <v>0</v>
      </c>
      <c r="W28" s="12"/>
      <c r="X28" s="14">
        <f>IF(OR($G$4="MEDIA",$G$4="BASICA - TERCER CICLO"),ROUND((W28*$W$11),2),ROUND((W28*$W$11),0))</f>
        <v>0</v>
      </c>
      <c r="Y28" s="47">
        <f>ROUND((L28+R28+V28)/3,1)</f>
        <v>0</v>
      </c>
      <c r="Z28" s="12"/>
      <c r="AA28" s="12"/>
      <c r="AB28" s="12"/>
      <c r="AC28" s="12"/>
      <c r="AD28" s="12"/>
      <c r="AE28" s="46">
        <f>IF(OR($G$4="MEDIA",$G$4="BASICA - TERCER CICLO"),ROUND(((Z28*$Z$11)+(AA28*$AA$11)+(AB28*$AB$11)+(AC28*$AC$11)+(AD28*$AD$11)*100)/35%,2),ROUND((Z28*$Z$11)+(AA28*$AA$11)+(AB28*$AB$11)+(AC28*$AC$11)+(AD28*$AD$11),2))</f>
        <v>0</v>
      </c>
      <c r="AF28" s="12"/>
      <c r="AG28" s="12"/>
      <c r="AH28" s="12"/>
      <c r="AI28" s="12"/>
      <c r="AJ28" s="12"/>
      <c r="AK28" s="46">
        <f>IF(OR($G$4="MEDIA",$G$4="BASICA - TERCER CICLO"),ROUND(((AF28*$AF$11)+(AG28*$AG$11)+(AH28*$AH$11)+(AI28*$AI$11)+(AJ28*$AJ$11)*100)/35%,2),ROUND((AF28*$AF$11)+(AG28*$AG$11)+(AH28*$AH$11)+(AI28*$AI$11)+(AJ28*$AJ$11),2))</f>
        <v>0</v>
      </c>
      <c r="AL28" s="12"/>
      <c r="AM28" s="12"/>
      <c r="AN28" s="12"/>
      <c r="AO28" s="46">
        <f>IF(OR($G$4="MEDIA",$G$4="BASICA - TERCER CICLO"),ROUND(((AL28*$AL$11)+(AM28*$AM$11)+(AN28*$AN$11)*100)/30%,2),ROUND(((AL28*$AL$11)+(AM28*$AM$11)+(AN28*$AN$11)*100)/30%,2))</f>
        <v>0</v>
      </c>
      <c r="AP28" s="12"/>
      <c r="AQ28" s="14">
        <f>IF(OR($G$4="MEDIA",$G$4="BASICA - TERCER CICLO"),ROUND((AP28*$AP$11),2),ROUND((AP28*$AP$11),0))</f>
        <v>0</v>
      </c>
      <c r="AR28" s="47">
        <f>ROUND((AE28+AK28+AO28)/3,1)</f>
        <v>0</v>
      </c>
      <c r="AS28" s="12"/>
      <c r="AT28" s="12"/>
      <c r="AU28" s="12"/>
      <c r="AV28" s="12"/>
      <c r="AW28" s="12"/>
      <c r="AX28" s="46">
        <f>IF(OR($G$4="MEDIA",$G$4="BASICA - TERCER CICLO"),ROUND(((AS28*$AS$11)+(AT28*$AT$11)+(AU28*$AU$11)+(AV28*$AV$11)+(AW28*$AW$11)*100)/35%,2),ROUND((AS28*$AS$11)+(AT28*$AT$11)+(AU28*$AU$11)+(AV28*$AV$11)+(AW28*$AW$11),2))</f>
        <v>0</v>
      </c>
      <c r="AY28" s="12"/>
      <c r="AZ28" s="12"/>
      <c r="BA28" s="12"/>
      <c r="BB28" s="12"/>
      <c r="BC28" s="12"/>
      <c r="BD28" s="46">
        <f>IF(OR($G$4="MEDIA",$G$4="BASICA - TERCER CICLO"),ROUND(((AY28*$AY$11)+(AZ28*$AZ$11)+(BA28*$BA$11)+(BB28*$BB$11)+(BC28*$BC$11)*100)/35%,2),ROUND((AY28*$AY$11)+(AZ28*$AZ$11)+(BA28*$BA$11)+(BB28*$BB$11)+(BC28*$BC$11),2))</f>
        <v>0</v>
      </c>
      <c r="BE28" s="12"/>
      <c r="BF28" s="12"/>
      <c r="BG28" s="12"/>
      <c r="BH28" s="46">
        <f>IF(OR($G$4="MEDIA",$G$4="BASICA - TERCER CICLO"),ROUND(((BE28*$BE$11)+(BF28*$BF$11)+(BG28*$BG$11)*100)/30%,2),ROUND(((BE28*$BE$11)+(BF28*$BF$11)+(BG28*$BG$11)*100)/30%,2))</f>
        <v>0</v>
      </c>
      <c r="BI28" s="12"/>
      <c r="BJ28" s="14">
        <f>IF(OR($G$4="MEDIA",$G$4="BASICA - TERCER CICLO"),ROUND((BI28*$BI$11),2),ROUND((BI28*$BI$11),0))</f>
        <v>0</v>
      </c>
      <c r="BK28" s="47">
        <f>ROUND((AX28+BD28+BH28)/3,1)</f>
        <v>0</v>
      </c>
      <c r="BL28" s="12"/>
      <c r="BM28" s="12"/>
      <c r="BN28" s="12"/>
      <c r="BO28" s="12"/>
      <c r="BP28" s="12"/>
      <c r="BQ28" s="13">
        <f>IF(OR($G$4="MEDIA",$G$4="BASICA - TERCER CICLO"),ROUND(((BL28*$BL$11)+(BM28*$BM$11)+(BN28*$BN$11)+(BO28*$BO$11)+(BP28*$BP$11)*100)/35%,2),ROUND(((BL28*$BL$11)+(BM28*$BM$11)+(BN28*$BN$11)+(BO28*$BO$11)+(BP28*$BP$11)*100)/35%,2))</f>
        <v>0</v>
      </c>
      <c r="BR28" s="12"/>
      <c r="BS28" s="12"/>
      <c r="BT28" s="12"/>
      <c r="BU28" s="12"/>
      <c r="BV28" s="12"/>
      <c r="BW28" s="13">
        <f>IF(OR($G$4="MEDIA",$G$4="BASICA - TERCER CICLO"),ROUND(((BR28*$BR$11)+(BS28*$BS$11)+(BT28*$BT$11)+(BU28*$BU$11)+(BV28*$BV$11)*100)/35%,2),ROUND(((BR28*$BR$11)+(BS28*$BS$11)+(BT28*$BT$11)+(BU28*$BU$11)+(BV28*$BP$11)*100)/35%,2))</f>
        <v>0</v>
      </c>
      <c r="BX28" s="12"/>
      <c r="BY28" s="12"/>
      <c r="BZ28" s="12"/>
      <c r="CA28" s="13">
        <f>IF(OR($G$4="MEDIA",$G$4="BASICA - TERCER CICLO"),ROUND(((BX28*$BX$11)+(BY28*$BY$11)+(BZ28*$BZ$11)*100)/30%,2),ROUND(((BX28*$BX$11)+(BY28*$BY$11)+(BZ28*$BZ$11)*100)/30%,2))</f>
        <v>0</v>
      </c>
      <c r="CB28" s="12"/>
      <c r="CC28" s="14">
        <f>IF(OR($G$4="MEDIA",$G$4="BASICA - TERCER CICLO"),ROUND((CB28*$BI$11),2),ROUND((CB28*$BI$11),0))</f>
        <v>0</v>
      </c>
      <c r="CD28" s="28">
        <f>IF(OR($G$4="MEDIA",$G$4="BASICA - TERCER CICLO"),ROUND((BQ28+BW28+CA28+CC28),1),IF($G$4="BASICA",ROUND((BQ28+BW28+CA28+CC28),0),ROUND((BQ28+BW28+CA28+CC28),1)))</f>
        <v>0</v>
      </c>
      <c r="CE28" s="28">
        <f>IF($G$4 = "MEDIA",ROUND(((Y28+AR28+BK28+CD28)/4),0),ROUND(((Y28+AR28+BK28)/3),0))</f>
        <v>0</v>
      </c>
      <c r="CF28" s="21"/>
      <c r="CG28" s="28">
        <f>IF(AND(CE28&lt;5,$G$4="BASICA"),ROUND((CE28+CF28)/2,0),IF(AND(CE28&lt;6,$G$4="MEDIA"),ROUND((CE28+CF28)/2,0),CE28))</f>
        <v>0</v>
      </c>
      <c r="CH28" s="16" t="str">
        <f>IF($G$4="MEDIA",IF(CG28&gt;=6,"Aprobado","Reprobado"),IF(CG28&gt;=5,"Aprobado","Reprobado"))</f>
        <v>Reprobado</v>
      </c>
    </row>
    <row r="29" spans="1:86" customHeight="1" ht="20.25">
      <c r="A29" s="39">
        <v>17</v>
      </c>
      <c r="B29" s="2">
        <v>10282529</v>
      </c>
      <c r="C29" s="2">
        <v>4391</v>
      </c>
      <c r="D29" s="2">
        <v>26961</v>
      </c>
      <c r="E29" s="2" t="s">
        <v>54</v>
      </c>
      <c r="F29" s="40" t="s">
        <v>39</v>
      </c>
      <c r="G29" s="31"/>
      <c r="H29" s="7"/>
      <c r="I29" s="7"/>
      <c r="J29" s="7"/>
      <c r="K29" s="7"/>
      <c r="L29" s="46">
        <f>IF(OR($G$4="MEDIA",$G$4="BASICA - TERCER CICLO"),ROUND(((G29*$G$11)+(H29*$H$11)+(I29*$I$11)+(J29*$J$11)+(K29*$K$11)*100)/35%,2),ROUND((G29*$G$11)+(H29*$H$11)+(I29*$I$11)+(J29*$J$11)+(K29*$K$11),2))</f>
        <v>0</v>
      </c>
      <c r="M29" s="7"/>
      <c r="N29" s="7"/>
      <c r="O29" s="7"/>
      <c r="P29" s="7"/>
      <c r="Q29" s="7"/>
      <c r="R29" s="46">
        <f>IF(OR($G$4="MEDIA",$G$4="BASICA - TERCER CICLO"),ROUND(((M29*$M$11)+(N29*$N$11)+(O29*$O$11)+(P29*$P$11)+(Q29*$Q$11)*100)/35%,2),ROUND((M29*$M$11)+(N29*$N$11)+(O29*$O$11)+(P29*$P$11)+(Q29*$Q$11),2))</f>
        <v>0</v>
      </c>
      <c r="S29" s="7"/>
      <c r="T29" s="7"/>
      <c r="U29" s="7"/>
      <c r="V29" s="13">
        <f>IF(OR($G$4="MEDIA",$G$4="BASICA - TERCER CICLO"),ROUND(((S29*$S$11)+(T29*$T$11)+(U29*$U$11)*100)/30%,2),ROUND(((S29*$S$11)+(T29*$T$11)+(U29*$U$11)*100)/30%,2))</f>
        <v>0</v>
      </c>
      <c r="W29" s="7"/>
      <c r="X29" s="14">
        <f>IF(OR($G$4="MEDIA",$G$4="BASICA - TERCER CICLO"),ROUND((W29*$W$11),2),ROUND((W29*$W$11),0))</f>
        <v>0</v>
      </c>
      <c r="Y29" s="47">
        <f>ROUND((L29+R29+V29)/3,1)</f>
        <v>0</v>
      </c>
      <c r="Z29" s="7"/>
      <c r="AA29" s="7"/>
      <c r="AB29" s="7"/>
      <c r="AC29" s="7"/>
      <c r="AD29" s="7"/>
      <c r="AE29" s="46">
        <f>IF(OR($G$4="MEDIA",$G$4="BASICA - TERCER CICLO"),ROUND(((Z29*$Z$11)+(AA29*$AA$11)+(AB29*$AB$11)+(AC29*$AC$11)+(AD29*$AD$11)*100)/35%,2),ROUND((Z29*$Z$11)+(AA29*$AA$11)+(AB29*$AB$11)+(AC29*$AC$11)+(AD29*$AD$11),2))</f>
        <v>0</v>
      </c>
      <c r="AF29" s="7"/>
      <c r="AG29" s="7"/>
      <c r="AH29" s="7"/>
      <c r="AI29" s="7"/>
      <c r="AJ29" s="7"/>
      <c r="AK29" s="46">
        <f>IF(OR($G$4="MEDIA",$G$4="BASICA - TERCER CICLO"),ROUND(((AF29*$AF$11)+(AG29*$AG$11)+(AH29*$AH$11)+(AI29*$AI$11)+(AJ29*$AJ$11)*100)/35%,2),ROUND((AF29*$AF$11)+(AG29*$AG$11)+(AH29*$AH$11)+(AI29*$AI$11)+(AJ29*$AJ$11),2))</f>
        <v>0</v>
      </c>
      <c r="AL29" s="7"/>
      <c r="AM29" s="7"/>
      <c r="AN29" s="7"/>
      <c r="AO29" s="46">
        <f>IF(OR($G$4="MEDIA",$G$4="BASICA - TERCER CICLO"),ROUND(((AL29*$AL$11)+(AM29*$AM$11)+(AN29*$AN$11)*100)/30%,2),ROUND(((AL29*$AL$11)+(AM29*$AM$11)+(AN29*$AN$11)*100)/30%,2))</f>
        <v>0</v>
      </c>
      <c r="AP29" s="7"/>
      <c r="AQ29" s="14">
        <f>IF(OR($G$4="MEDIA",$G$4="BASICA - TERCER CICLO"),ROUND((AP29*$AP$11),2),ROUND((AP29*$AP$11),0))</f>
        <v>0</v>
      </c>
      <c r="AR29" s="47">
        <f>ROUND((AE29+AK29+AO29)/3,1)</f>
        <v>0</v>
      </c>
      <c r="AS29" s="7"/>
      <c r="AT29" s="7"/>
      <c r="AU29" s="7"/>
      <c r="AV29" s="7"/>
      <c r="AW29" s="7"/>
      <c r="AX29" s="46">
        <f>IF(OR($G$4="MEDIA",$G$4="BASICA - TERCER CICLO"),ROUND(((AS29*$AS$11)+(AT29*$AT$11)+(AU29*$AU$11)+(AV29*$AV$11)+(AW29*$AW$11)*100)/35%,2),ROUND((AS29*$AS$11)+(AT29*$AT$11)+(AU29*$AU$11)+(AV29*$AV$11)+(AW29*$AW$11),2))</f>
        <v>0</v>
      </c>
      <c r="AY29" s="7"/>
      <c r="AZ29" s="7"/>
      <c r="BA29" s="7"/>
      <c r="BB29" s="7"/>
      <c r="BC29" s="7"/>
      <c r="BD29" s="46">
        <f>IF(OR($G$4="MEDIA",$G$4="BASICA - TERCER CICLO"),ROUND(((AY29*$AY$11)+(AZ29*$AZ$11)+(BA29*$BA$11)+(BB29*$BB$11)+(BC29*$BC$11)*100)/35%,2),ROUND((AY29*$AY$11)+(AZ29*$AZ$11)+(BA29*$BA$11)+(BB29*$BB$11)+(BC29*$BC$11),2))</f>
        <v>0</v>
      </c>
      <c r="BE29" s="7"/>
      <c r="BF29" s="7"/>
      <c r="BG29" s="7"/>
      <c r="BH29" s="46">
        <f>IF(OR($G$4="MEDIA",$G$4="BASICA - TERCER CICLO"),ROUND(((BE29*$BE$11)+(BF29*$BF$11)+(BG29*$BG$11)*100)/30%,2),ROUND(((BE29*$BE$11)+(BF29*$BF$11)+(BG29*$BG$11)*100)/30%,2))</f>
        <v>0</v>
      </c>
      <c r="BI29" s="7"/>
      <c r="BJ29" s="14">
        <f>IF(OR($G$4="MEDIA",$G$4="BASICA - TERCER CICLO"),ROUND((BI29*$BI$11),2),ROUND((BI29*$BI$11),0))</f>
        <v>0</v>
      </c>
      <c r="BK29" s="47">
        <f>ROUND((AX29+BD29+BH29)/3,1)</f>
        <v>0</v>
      </c>
      <c r="BL29" s="7"/>
      <c r="BM29" s="7"/>
      <c r="BN29" s="7"/>
      <c r="BO29" s="7"/>
      <c r="BP29" s="7"/>
      <c r="BQ29" s="13">
        <f>IF(OR($G$4="MEDIA",$G$4="BASICA - TERCER CICLO"),ROUND(((BL29*$BL$11)+(BM29*$BM$11)+(BN29*$BN$11)+(BO29*$BO$11)+(BP29*$BP$11)*100)/35%,2),ROUND(((BL29*$BL$11)+(BM29*$BM$11)+(BN29*$BN$11)+(BO29*$BO$11)+(BP29*$BP$11)*100)/35%,2))</f>
        <v>0</v>
      </c>
      <c r="BR29" s="7"/>
      <c r="BS29" s="7"/>
      <c r="BT29" s="7"/>
      <c r="BU29" s="7"/>
      <c r="BV29" s="7"/>
      <c r="BW29" s="13">
        <f>IF(OR($G$4="MEDIA",$G$4="BASICA - TERCER CICLO"),ROUND(((BR29*$BR$11)+(BS29*$BS$11)+(BT29*$BT$11)+(BU29*$BU$11)+(BV29*$BV$11)*100)/35%,2),ROUND(((BR29*$BR$11)+(BS29*$BS$11)+(BT29*$BT$11)+(BU29*$BU$11)+(BV29*$BP$11)*100)/35%,2))</f>
        <v>0</v>
      </c>
      <c r="BX29" s="7"/>
      <c r="BY29" s="7"/>
      <c r="BZ29" s="7"/>
      <c r="CA29" s="13">
        <f>IF(OR($G$4="MEDIA",$G$4="BASICA - TERCER CICLO"),ROUND(((BX29*$BX$11)+(BY29*$BY$11)+(BZ29*$BZ$11)*100)/30%,2),ROUND(((BX29*$BX$11)+(BY29*$BY$11)+(BZ29*$BZ$11)*100)/30%,2))</f>
        <v>0</v>
      </c>
      <c r="CB29" s="7"/>
      <c r="CC29" s="14">
        <f>IF(OR($G$4="MEDIA",$G$4="BASICA - TERCER CICLO"),ROUND((CB29*$BI$11),2),ROUND((CB29*$BI$11),0))</f>
        <v>0</v>
      </c>
      <c r="CD29" s="28">
        <f>IF(OR($G$4="MEDIA",$G$4="BASICA - TERCER CICLO"),ROUND((BQ29+BW29+CA29+CC29),1),IF($G$4="BASICA",ROUND((BQ29+BW29+CA29+CC29),0),ROUND((BQ29+BW29+CA29+CC29),1)))</f>
        <v>0</v>
      </c>
      <c r="CE29" s="28">
        <f>IF($G$4 = "MEDIA",ROUND(((Y29+AR29+BK29+CD29)/4),0),ROUND(((Y29+AR29+BK29)/3),0))</f>
        <v>0</v>
      </c>
      <c r="CF29" s="20"/>
      <c r="CG29" s="28">
        <f>IF(AND(CE29&lt;5,$G$4="BASICA"),ROUND((CE29+CF29)/2,0),IF(AND(CE29&lt;6,$G$4="MEDIA"),ROUND((CE29+CF29)/2,0),CE29))</f>
        <v>0</v>
      </c>
      <c r="CH29" s="17" t="str">
        <f>IF($G$4="MEDIA",IF(CG29&gt;=6,"Aprobado","Reprobado"),IF(CG29&gt;=5,"Aprobado","Reprobado"))</f>
        <v>Reprobado</v>
      </c>
    </row>
    <row r="30" spans="1:86" customHeight="1" ht="20.25">
      <c r="A30" s="41">
        <v>18</v>
      </c>
      <c r="B30" s="3">
        <v>10334591</v>
      </c>
      <c r="C30" s="3">
        <v>4884</v>
      </c>
      <c r="D30" s="3">
        <v>26962</v>
      </c>
      <c r="E30" s="3" t="s">
        <v>55</v>
      </c>
      <c r="F30" s="42" t="s">
        <v>37</v>
      </c>
      <c r="G30" s="32"/>
      <c r="H30" s="12"/>
      <c r="I30" s="12"/>
      <c r="J30" s="12"/>
      <c r="K30" s="12"/>
      <c r="L30" s="46">
        <f>IF(OR($G$4="MEDIA",$G$4="BASICA - TERCER CICLO"),ROUND(((G30*$G$11)+(H30*$H$11)+(I30*$I$11)+(J30*$J$11)+(K30*$K$11)*100)/35%,2),ROUND((G30*$G$11)+(H30*$H$11)+(I30*$I$11)+(J30*$J$11)+(K30*$K$11),2))</f>
        <v>0</v>
      </c>
      <c r="M30" s="12"/>
      <c r="N30" s="12"/>
      <c r="O30" s="12"/>
      <c r="P30" s="12"/>
      <c r="Q30" s="12"/>
      <c r="R30" s="46">
        <f>IF(OR($G$4="MEDIA",$G$4="BASICA - TERCER CICLO"),ROUND(((M30*$M$11)+(N30*$N$11)+(O30*$O$11)+(P30*$P$11)+(Q30*$Q$11)*100)/35%,2),ROUND((M30*$M$11)+(N30*$N$11)+(O30*$O$11)+(P30*$P$11)+(Q30*$Q$11),2))</f>
        <v>0</v>
      </c>
      <c r="S30" s="12"/>
      <c r="T30" s="12"/>
      <c r="U30" s="12"/>
      <c r="V30" s="13">
        <f>IF(OR($G$4="MEDIA",$G$4="BASICA - TERCER CICLO"),ROUND(((S30*$S$11)+(T30*$T$11)+(U30*$U$11)*100)/30%,2),ROUND(((S30*$S$11)+(T30*$T$11)+(U30*$U$11)*100)/30%,2))</f>
        <v>0</v>
      </c>
      <c r="W30" s="12"/>
      <c r="X30" s="14">
        <f>IF(OR($G$4="MEDIA",$G$4="BASICA - TERCER CICLO"),ROUND((W30*$W$11),2),ROUND((W30*$W$11),0))</f>
        <v>0</v>
      </c>
      <c r="Y30" s="47">
        <f>ROUND((L30+R30+V30)/3,1)</f>
        <v>0</v>
      </c>
      <c r="Z30" s="12"/>
      <c r="AA30" s="12"/>
      <c r="AB30" s="12"/>
      <c r="AC30" s="12"/>
      <c r="AD30" s="12"/>
      <c r="AE30" s="46">
        <f>IF(OR($G$4="MEDIA",$G$4="BASICA - TERCER CICLO"),ROUND(((Z30*$Z$11)+(AA30*$AA$11)+(AB30*$AB$11)+(AC30*$AC$11)+(AD30*$AD$11)*100)/35%,2),ROUND((Z30*$Z$11)+(AA30*$AA$11)+(AB30*$AB$11)+(AC30*$AC$11)+(AD30*$AD$11),2))</f>
        <v>0</v>
      </c>
      <c r="AF30" s="12"/>
      <c r="AG30" s="12"/>
      <c r="AH30" s="12"/>
      <c r="AI30" s="12"/>
      <c r="AJ30" s="12"/>
      <c r="AK30" s="46">
        <f>IF(OR($G$4="MEDIA",$G$4="BASICA - TERCER CICLO"),ROUND(((AF30*$AF$11)+(AG30*$AG$11)+(AH30*$AH$11)+(AI30*$AI$11)+(AJ30*$AJ$11)*100)/35%,2),ROUND((AF30*$AF$11)+(AG30*$AG$11)+(AH30*$AH$11)+(AI30*$AI$11)+(AJ30*$AJ$11),2))</f>
        <v>0</v>
      </c>
      <c r="AL30" s="12"/>
      <c r="AM30" s="12"/>
      <c r="AN30" s="12"/>
      <c r="AO30" s="46">
        <f>IF(OR($G$4="MEDIA",$G$4="BASICA - TERCER CICLO"),ROUND(((AL30*$AL$11)+(AM30*$AM$11)+(AN30*$AN$11)*100)/30%,2),ROUND(((AL30*$AL$11)+(AM30*$AM$11)+(AN30*$AN$11)*100)/30%,2))</f>
        <v>0</v>
      </c>
      <c r="AP30" s="12"/>
      <c r="AQ30" s="14">
        <f>IF(OR($G$4="MEDIA",$G$4="BASICA - TERCER CICLO"),ROUND((AP30*$AP$11),2),ROUND((AP30*$AP$11),0))</f>
        <v>0</v>
      </c>
      <c r="AR30" s="47">
        <f>ROUND((AE30+AK30+AO30)/3,1)</f>
        <v>0</v>
      </c>
      <c r="AS30" s="12"/>
      <c r="AT30" s="12"/>
      <c r="AU30" s="12"/>
      <c r="AV30" s="12"/>
      <c r="AW30" s="12"/>
      <c r="AX30" s="46">
        <f>IF(OR($G$4="MEDIA",$G$4="BASICA - TERCER CICLO"),ROUND(((AS30*$AS$11)+(AT30*$AT$11)+(AU30*$AU$11)+(AV30*$AV$11)+(AW30*$AW$11)*100)/35%,2),ROUND((AS30*$AS$11)+(AT30*$AT$11)+(AU30*$AU$11)+(AV30*$AV$11)+(AW30*$AW$11),2))</f>
        <v>0</v>
      </c>
      <c r="AY30" s="12"/>
      <c r="AZ30" s="12"/>
      <c r="BA30" s="12"/>
      <c r="BB30" s="12"/>
      <c r="BC30" s="12"/>
      <c r="BD30" s="46">
        <f>IF(OR($G$4="MEDIA",$G$4="BASICA - TERCER CICLO"),ROUND(((AY30*$AY$11)+(AZ30*$AZ$11)+(BA30*$BA$11)+(BB30*$BB$11)+(BC30*$BC$11)*100)/35%,2),ROUND((AY30*$AY$11)+(AZ30*$AZ$11)+(BA30*$BA$11)+(BB30*$BB$11)+(BC30*$BC$11),2))</f>
        <v>0</v>
      </c>
      <c r="BE30" s="12"/>
      <c r="BF30" s="12"/>
      <c r="BG30" s="12"/>
      <c r="BH30" s="46">
        <f>IF(OR($G$4="MEDIA",$G$4="BASICA - TERCER CICLO"),ROUND(((BE30*$BE$11)+(BF30*$BF$11)+(BG30*$BG$11)*100)/30%,2),ROUND(((BE30*$BE$11)+(BF30*$BF$11)+(BG30*$BG$11)*100)/30%,2))</f>
        <v>0</v>
      </c>
      <c r="BI30" s="12"/>
      <c r="BJ30" s="14">
        <f>IF(OR($G$4="MEDIA",$G$4="BASICA - TERCER CICLO"),ROUND((BI30*$BI$11),2),ROUND((BI30*$BI$11),0))</f>
        <v>0</v>
      </c>
      <c r="BK30" s="47">
        <f>ROUND((AX30+BD30+BH30)/3,1)</f>
        <v>0</v>
      </c>
      <c r="BL30" s="12"/>
      <c r="BM30" s="12"/>
      <c r="BN30" s="12"/>
      <c r="BO30" s="12"/>
      <c r="BP30" s="12"/>
      <c r="BQ30" s="13">
        <f>IF(OR($G$4="MEDIA",$G$4="BASICA - TERCER CICLO"),ROUND(((BL30*$BL$11)+(BM30*$BM$11)+(BN30*$BN$11)+(BO30*$BO$11)+(BP30*$BP$11)*100)/35%,2),ROUND(((BL30*$BL$11)+(BM30*$BM$11)+(BN30*$BN$11)+(BO30*$BO$11)+(BP30*$BP$11)*100)/35%,2))</f>
        <v>0</v>
      </c>
      <c r="BR30" s="12"/>
      <c r="BS30" s="12"/>
      <c r="BT30" s="12"/>
      <c r="BU30" s="12"/>
      <c r="BV30" s="12"/>
      <c r="BW30" s="13">
        <f>IF(OR($G$4="MEDIA",$G$4="BASICA - TERCER CICLO"),ROUND(((BR30*$BR$11)+(BS30*$BS$11)+(BT30*$BT$11)+(BU30*$BU$11)+(BV30*$BV$11)*100)/35%,2),ROUND(((BR30*$BR$11)+(BS30*$BS$11)+(BT30*$BT$11)+(BU30*$BU$11)+(BV30*$BP$11)*100)/35%,2))</f>
        <v>0</v>
      </c>
      <c r="BX30" s="12"/>
      <c r="BY30" s="12"/>
      <c r="BZ30" s="12"/>
      <c r="CA30" s="13">
        <f>IF(OR($G$4="MEDIA",$G$4="BASICA - TERCER CICLO"),ROUND(((BX30*$BX$11)+(BY30*$BY$11)+(BZ30*$BZ$11)*100)/30%,2),ROUND(((BX30*$BX$11)+(BY30*$BY$11)+(BZ30*$BZ$11)*100)/30%,2))</f>
        <v>0</v>
      </c>
      <c r="CB30" s="12"/>
      <c r="CC30" s="14">
        <f>IF(OR($G$4="MEDIA",$G$4="BASICA - TERCER CICLO"),ROUND((CB30*$BI$11),2),ROUND((CB30*$BI$11),0))</f>
        <v>0</v>
      </c>
      <c r="CD30" s="28">
        <f>IF(OR($G$4="MEDIA",$G$4="BASICA - TERCER CICLO"),ROUND((BQ30+BW30+CA30+CC30),1),IF($G$4="BASICA",ROUND((BQ30+BW30+CA30+CC30),0),ROUND((BQ30+BW30+CA30+CC30),1)))</f>
        <v>0</v>
      </c>
      <c r="CE30" s="28">
        <f>IF($G$4 = "MEDIA",ROUND(((Y30+AR30+BK30+CD30)/4),0),ROUND(((Y30+AR30+BK30)/3),0))</f>
        <v>0</v>
      </c>
      <c r="CF30" s="21"/>
      <c r="CG30" s="28">
        <f>IF(AND(CE30&lt;5,$G$4="BASICA"),ROUND((CE30+CF30)/2,0),IF(AND(CE30&lt;6,$G$4="MEDIA"),ROUND((CE30+CF30)/2,0),CE30))</f>
        <v>0</v>
      </c>
      <c r="CH30" s="16" t="str">
        <f>IF($G$4="MEDIA",IF(CG30&gt;=6,"Aprobado","Reprobado"),IF(CG30&gt;=5,"Aprobado","Reprobado"))</f>
        <v>Reprobado</v>
      </c>
    </row>
    <row r="31" spans="1:86" customHeight="1" ht="20.25">
      <c r="A31" s="39">
        <v>19</v>
      </c>
      <c r="B31" s="2">
        <v>10131393</v>
      </c>
      <c r="C31" s="2">
        <v>5482</v>
      </c>
      <c r="D31" s="2">
        <v>26970</v>
      </c>
      <c r="E31" s="2" t="s">
        <v>56</v>
      </c>
      <c r="F31" s="40" t="s">
        <v>39</v>
      </c>
      <c r="G31" s="31"/>
      <c r="H31" s="7"/>
      <c r="I31" s="7"/>
      <c r="J31" s="7"/>
      <c r="K31" s="7"/>
      <c r="L31" s="46">
        <f>IF(OR($G$4="MEDIA",$G$4="BASICA - TERCER CICLO"),ROUND(((G31*$G$11)+(H31*$H$11)+(I31*$I$11)+(J31*$J$11)+(K31*$K$11)*100)/35%,2),ROUND((G31*$G$11)+(H31*$H$11)+(I31*$I$11)+(J31*$J$11)+(K31*$K$11),2))</f>
        <v>0</v>
      </c>
      <c r="M31" s="7"/>
      <c r="N31" s="7"/>
      <c r="O31" s="7"/>
      <c r="P31" s="7"/>
      <c r="Q31" s="7"/>
      <c r="R31" s="46">
        <f>IF(OR($G$4="MEDIA",$G$4="BASICA - TERCER CICLO"),ROUND(((M31*$M$11)+(N31*$N$11)+(O31*$O$11)+(P31*$P$11)+(Q31*$Q$11)*100)/35%,2),ROUND((M31*$M$11)+(N31*$N$11)+(O31*$O$11)+(P31*$P$11)+(Q31*$Q$11),2))</f>
        <v>0</v>
      </c>
      <c r="S31" s="7"/>
      <c r="T31" s="7"/>
      <c r="U31" s="7"/>
      <c r="V31" s="13">
        <f>IF(OR($G$4="MEDIA",$G$4="BASICA - TERCER CICLO"),ROUND(((S31*$S$11)+(T31*$T$11)+(U31*$U$11)*100)/30%,2),ROUND(((S31*$S$11)+(T31*$T$11)+(U31*$U$11)*100)/30%,2))</f>
        <v>0</v>
      </c>
      <c r="W31" s="7"/>
      <c r="X31" s="14">
        <f>IF(OR($G$4="MEDIA",$G$4="BASICA - TERCER CICLO"),ROUND((W31*$W$11),2),ROUND((W31*$W$11),0))</f>
        <v>0</v>
      </c>
      <c r="Y31" s="47">
        <f>ROUND((L31+R31+V31)/3,1)</f>
        <v>0</v>
      </c>
      <c r="Z31" s="7"/>
      <c r="AA31" s="7"/>
      <c r="AB31" s="7"/>
      <c r="AC31" s="7"/>
      <c r="AD31" s="7"/>
      <c r="AE31" s="46">
        <f>IF(OR($G$4="MEDIA",$G$4="BASICA - TERCER CICLO"),ROUND(((Z31*$Z$11)+(AA31*$AA$11)+(AB31*$AB$11)+(AC31*$AC$11)+(AD31*$AD$11)*100)/35%,2),ROUND((Z31*$Z$11)+(AA31*$AA$11)+(AB31*$AB$11)+(AC31*$AC$11)+(AD31*$AD$11),2))</f>
        <v>0</v>
      </c>
      <c r="AF31" s="7"/>
      <c r="AG31" s="7"/>
      <c r="AH31" s="7"/>
      <c r="AI31" s="7"/>
      <c r="AJ31" s="7"/>
      <c r="AK31" s="46">
        <f>IF(OR($G$4="MEDIA",$G$4="BASICA - TERCER CICLO"),ROUND(((AF31*$AF$11)+(AG31*$AG$11)+(AH31*$AH$11)+(AI31*$AI$11)+(AJ31*$AJ$11)*100)/35%,2),ROUND((AF31*$AF$11)+(AG31*$AG$11)+(AH31*$AH$11)+(AI31*$AI$11)+(AJ31*$AJ$11),2))</f>
        <v>0</v>
      </c>
      <c r="AL31" s="7"/>
      <c r="AM31" s="7"/>
      <c r="AN31" s="7"/>
      <c r="AO31" s="46">
        <f>IF(OR($G$4="MEDIA",$G$4="BASICA - TERCER CICLO"),ROUND(((AL31*$AL$11)+(AM31*$AM$11)+(AN31*$AN$11)*100)/30%,2),ROUND(((AL31*$AL$11)+(AM31*$AM$11)+(AN31*$AN$11)*100)/30%,2))</f>
        <v>0</v>
      </c>
      <c r="AP31" s="7"/>
      <c r="AQ31" s="14">
        <f>IF(OR($G$4="MEDIA",$G$4="BASICA - TERCER CICLO"),ROUND((AP31*$AP$11),2),ROUND((AP31*$AP$11),0))</f>
        <v>0</v>
      </c>
      <c r="AR31" s="47">
        <f>ROUND((AE31+AK31+AO31)/3,1)</f>
        <v>0</v>
      </c>
      <c r="AS31" s="7"/>
      <c r="AT31" s="7"/>
      <c r="AU31" s="7"/>
      <c r="AV31" s="7"/>
      <c r="AW31" s="7"/>
      <c r="AX31" s="46">
        <f>IF(OR($G$4="MEDIA",$G$4="BASICA - TERCER CICLO"),ROUND(((AS31*$AS$11)+(AT31*$AT$11)+(AU31*$AU$11)+(AV31*$AV$11)+(AW31*$AW$11)*100)/35%,2),ROUND((AS31*$AS$11)+(AT31*$AT$11)+(AU31*$AU$11)+(AV31*$AV$11)+(AW31*$AW$11),2))</f>
        <v>0</v>
      </c>
      <c r="AY31" s="7"/>
      <c r="AZ31" s="7"/>
      <c r="BA31" s="7"/>
      <c r="BB31" s="7"/>
      <c r="BC31" s="7"/>
      <c r="BD31" s="46">
        <f>IF(OR($G$4="MEDIA",$G$4="BASICA - TERCER CICLO"),ROUND(((AY31*$AY$11)+(AZ31*$AZ$11)+(BA31*$BA$11)+(BB31*$BB$11)+(BC31*$BC$11)*100)/35%,2),ROUND((AY31*$AY$11)+(AZ31*$AZ$11)+(BA31*$BA$11)+(BB31*$BB$11)+(BC31*$BC$11),2))</f>
        <v>0</v>
      </c>
      <c r="BE31" s="7"/>
      <c r="BF31" s="7"/>
      <c r="BG31" s="7"/>
      <c r="BH31" s="46">
        <f>IF(OR($G$4="MEDIA",$G$4="BASICA - TERCER CICLO"),ROUND(((BE31*$BE$11)+(BF31*$BF$11)+(BG31*$BG$11)*100)/30%,2),ROUND(((BE31*$BE$11)+(BF31*$BF$11)+(BG31*$BG$11)*100)/30%,2))</f>
        <v>0</v>
      </c>
      <c r="BI31" s="7"/>
      <c r="BJ31" s="14">
        <f>IF(OR($G$4="MEDIA",$G$4="BASICA - TERCER CICLO"),ROUND((BI31*$BI$11),2),ROUND((BI31*$BI$11),0))</f>
        <v>0</v>
      </c>
      <c r="BK31" s="47">
        <f>ROUND((AX31+BD31+BH31)/3,1)</f>
        <v>0</v>
      </c>
      <c r="BL31" s="7"/>
      <c r="BM31" s="7"/>
      <c r="BN31" s="7"/>
      <c r="BO31" s="7"/>
      <c r="BP31" s="7"/>
      <c r="BQ31" s="13">
        <f>IF(OR($G$4="MEDIA",$G$4="BASICA - TERCER CICLO"),ROUND(((BL31*$BL$11)+(BM31*$BM$11)+(BN31*$BN$11)+(BO31*$BO$11)+(BP31*$BP$11)*100)/35%,2),ROUND(((BL31*$BL$11)+(BM31*$BM$11)+(BN31*$BN$11)+(BO31*$BO$11)+(BP31*$BP$11)*100)/35%,2))</f>
        <v>0</v>
      </c>
      <c r="BR31" s="7"/>
      <c r="BS31" s="7"/>
      <c r="BT31" s="7"/>
      <c r="BU31" s="7"/>
      <c r="BV31" s="7"/>
      <c r="BW31" s="13">
        <f>IF(OR($G$4="MEDIA",$G$4="BASICA - TERCER CICLO"),ROUND(((BR31*$BR$11)+(BS31*$BS$11)+(BT31*$BT$11)+(BU31*$BU$11)+(BV31*$BV$11)*100)/35%,2),ROUND(((BR31*$BR$11)+(BS31*$BS$11)+(BT31*$BT$11)+(BU31*$BU$11)+(BV31*$BP$11)*100)/35%,2))</f>
        <v>0</v>
      </c>
      <c r="BX31" s="7"/>
      <c r="BY31" s="7"/>
      <c r="BZ31" s="7"/>
      <c r="CA31" s="13">
        <f>IF(OR($G$4="MEDIA",$G$4="BASICA - TERCER CICLO"),ROUND(((BX31*$BX$11)+(BY31*$BY$11)+(BZ31*$BZ$11)*100)/30%,2),ROUND(((BX31*$BX$11)+(BY31*$BY$11)+(BZ31*$BZ$11)*100)/30%,2))</f>
        <v>0</v>
      </c>
      <c r="CB31" s="7"/>
      <c r="CC31" s="14">
        <f>IF(OR($G$4="MEDIA",$G$4="BASICA - TERCER CICLO"),ROUND((CB31*$BI$11),2),ROUND((CB31*$BI$11),0))</f>
        <v>0</v>
      </c>
      <c r="CD31" s="28">
        <f>IF(OR($G$4="MEDIA",$G$4="BASICA - TERCER CICLO"),ROUND((BQ31+BW31+CA31+CC31),1),IF($G$4="BASICA",ROUND((BQ31+BW31+CA31+CC31),0),ROUND((BQ31+BW31+CA31+CC31),1)))</f>
        <v>0</v>
      </c>
      <c r="CE31" s="28">
        <f>IF($G$4 = "MEDIA",ROUND(((Y31+AR31+BK31+CD31)/4),0),ROUND(((Y31+AR31+BK31)/3),0))</f>
        <v>0</v>
      </c>
      <c r="CF31" s="20"/>
      <c r="CG31" s="28">
        <f>IF(AND(CE31&lt;5,$G$4="BASICA"),ROUND((CE31+CF31)/2,0),IF(AND(CE31&lt;6,$G$4="MEDIA"),ROUND((CE31+CF31)/2,0),CE31))</f>
        <v>0</v>
      </c>
      <c r="CH31" s="17" t="str">
        <f>IF($G$4="MEDIA",IF(CG31&gt;=6,"Aprobado","Reprobado"),IF(CG31&gt;=5,"Aprobado","Reprobado"))</f>
        <v>Reprobado</v>
      </c>
    </row>
    <row r="32" spans="1:86" customHeight="1" ht="20.25">
      <c r="A32" s="41">
        <v>20</v>
      </c>
      <c r="B32" s="3">
        <v>10493425</v>
      </c>
      <c r="C32" s="3">
        <v>5037</v>
      </c>
      <c r="D32" s="3">
        <v>26963</v>
      </c>
      <c r="E32" s="3" t="s">
        <v>57</v>
      </c>
      <c r="F32" s="42" t="s">
        <v>39</v>
      </c>
      <c r="G32" s="32"/>
      <c r="H32" s="12"/>
      <c r="I32" s="12"/>
      <c r="J32" s="12"/>
      <c r="K32" s="12"/>
      <c r="L32" s="46">
        <f>IF(OR($G$4="MEDIA",$G$4="BASICA - TERCER CICLO"),ROUND(((G32*$G$11)+(H32*$H$11)+(I32*$I$11)+(J32*$J$11)+(K32*$K$11)*100)/35%,2),ROUND((G32*$G$11)+(H32*$H$11)+(I32*$I$11)+(J32*$J$11)+(K32*$K$11),2))</f>
        <v>0</v>
      </c>
      <c r="M32" s="12"/>
      <c r="N32" s="12"/>
      <c r="O32" s="12"/>
      <c r="P32" s="12"/>
      <c r="Q32" s="12"/>
      <c r="R32" s="46">
        <f>IF(OR($G$4="MEDIA",$G$4="BASICA - TERCER CICLO"),ROUND(((M32*$M$11)+(N32*$N$11)+(O32*$O$11)+(P32*$P$11)+(Q32*$Q$11)*100)/35%,2),ROUND((M32*$M$11)+(N32*$N$11)+(O32*$O$11)+(P32*$P$11)+(Q32*$Q$11),2))</f>
        <v>0</v>
      </c>
      <c r="S32" s="12"/>
      <c r="T32" s="12"/>
      <c r="U32" s="12"/>
      <c r="V32" s="13">
        <f>IF(OR($G$4="MEDIA",$G$4="BASICA - TERCER CICLO"),ROUND(((S32*$S$11)+(T32*$T$11)+(U32*$U$11)*100)/30%,2),ROUND(((S32*$S$11)+(T32*$T$11)+(U32*$U$11)*100)/30%,2))</f>
        <v>0</v>
      </c>
      <c r="W32" s="12"/>
      <c r="X32" s="14">
        <f>IF(OR($G$4="MEDIA",$G$4="BASICA - TERCER CICLO"),ROUND((W32*$W$11),2),ROUND((W32*$W$11),0))</f>
        <v>0</v>
      </c>
      <c r="Y32" s="47">
        <f>ROUND((L32+R32+V32)/3,1)</f>
        <v>0</v>
      </c>
      <c r="Z32" s="12"/>
      <c r="AA32" s="12"/>
      <c r="AB32" s="12"/>
      <c r="AC32" s="12"/>
      <c r="AD32" s="12"/>
      <c r="AE32" s="46">
        <f>IF(OR($G$4="MEDIA",$G$4="BASICA - TERCER CICLO"),ROUND(((Z32*$Z$11)+(AA32*$AA$11)+(AB32*$AB$11)+(AC32*$AC$11)+(AD32*$AD$11)*100)/35%,2),ROUND((Z32*$Z$11)+(AA32*$AA$11)+(AB32*$AB$11)+(AC32*$AC$11)+(AD32*$AD$11),2))</f>
        <v>0</v>
      </c>
      <c r="AF32" s="12"/>
      <c r="AG32" s="12"/>
      <c r="AH32" s="12"/>
      <c r="AI32" s="12"/>
      <c r="AJ32" s="12"/>
      <c r="AK32" s="46">
        <f>IF(OR($G$4="MEDIA",$G$4="BASICA - TERCER CICLO"),ROUND(((AF32*$AF$11)+(AG32*$AG$11)+(AH32*$AH$11)+(AI32*$AI$11)+(AJ32*$AJ$11)*100)/35%,2),ROUND((AF32*$AF$11)+(AG32*$AG$11)+(AH32*$AH$11)+(AI32*$AI$11)+(AJ32*$AJ$11),2))</f>
        <v>0</v>
      </c>
      <c r="AL32" s="12"/>
      <c r="AM32" s="12"/>
      <c r="AN32" s="12"/>
      <c r="AO32" s="46">
        <f>IF(OR($G$4="MEDIA",$G$4="BASICA - TERCER CICLO"),ROUND(((AL32*$AL$11)+(AM32*$AM$11)+(AN32*$AN$11)*100)/30%,2),ROUND(((AL32*$AL$11)+(AM32*$AM$11)+(AN32*$AN$11)*100)/30%,2))</f>
        <v>0</v>
      </c>
      <c r="AP32" s="12"/>
      <c r="AQ32" s="14">
        <f>IF(OR($G$4="MEDIA",$G$4="BASICA - TERCER CICLO"),ROUND((AP32*$AP$11),2),ROUND((AP32*$AP$11),0))</f>
        <v>0</v>
      </c>
      <c r="AR32" s="47">
        <f>ROUND((AE32+AK32+AO32)/3,1)</f>
        <v>0</v>
      </c>
      <c r="AS32" s="12"/>
      <c r="AT32" s="12"/>
      <c r="AU32" s="12"/>
      <c r="AV32" s="12"/>
      <c r="AW32" s="12"/>
      <c r="AX32" s="46">
        <f>IF(OR($G$4="MEDIA",$G$4="BASICA - TERCER CICLO"),ROUND(((AS32*$AS$11)+(AT32*$AT$11)+(AU32*$AU$11)+(AV32*$AV$11)+(AW32*$AW$11)*100)/35%,2),ROUND((AS32*$AS$11)+(AT32*$AT$11)+(AU32*$AU$11)+(AV32*$AV$11)+(AW32*$AW$11),2))</f>
        <v>0</v>
      </c>
      <c r="AY32" s="12"/>
      <c r="AZ32" s="12"/>
      <c r="BA32" s="12"/>
      <c r="BB32" s="12"/>
      <c r="BC32" s="12"/>
      <c r="BD32" s="46">
        <f>IF(OR($G$4="MEDIA",$G$4="BASICA - TERCER CICLO"),ROUND(((AY32*$AY$11)+(AZ32*$AZ$11)+(BA32*$BA$11)+(BB32*$BB$11)+(BC32*$BC$11)*100)/35%,2),ROUND((AY32*$AY$11)+(AZ32*$AZ$11)+(BA32*$BA$11)+(BB32*$BB$11)+(BC32*$BC$11),2))</f>
        <v>0</v>
      </c>
      <c r="BE32" s="12"/>
      <c r="BF32" s="12"/>
      <c r="BG32" s="12"/>
      <c r="BH32" s="46">
        <f>IF(OR($G$4="MEDIA",$G$4="BASICA - TERCER CICLO"),ROUND(((BE32*$BE$11)+(BF32*$BF$11)+(BG32*$BG$11)*100)/30%,2),ROUND(((BE32*$BE$11)+(BF32*$BF$11)+(BG32*$BG$11)*100)/30%,2))</f>
        <v>0</v>
      </c>
      <c r="BI32" s="12"/>
      <c r="BJ32" s="14">
        <f>IF(OR($G$4="MEDIA",$G$4="BASICA - TERCER CICLO"),ROUND((BI32*$BI$11),2),ROUND((BI32*$BI$11),0))</f>
        <v>0</v>
      </c>
      <c r="BK32" s="47">
        <f>ROUND((AX32+BD32+BH32)/3,1)</f>
        <v>0</v>
      </c>
      <c r="BL32" s="12"/>
      <c r="BM32" s="12"/>
      <c r="BN32" s="12"/>
      <c r="BO32" s="12"/>
      <c r="BP32" s="12"/>
      <c r="BQ32" s="13">
        <f>IF(OR($G$4="MEDIA",$G$4="BASICA - TERCER CICLO"),ROUND(((BL32*$BL$11)+(BM32*$BM$11)+(BN32*$BN$11)+(BO32*$BO$11)+(BP32*$BP$11)*100)/35%,2),ROUND(((BL32*$BL$11)+(BM32*$BM$11)+(BN32*$BN$11)+(BO32*$BO$11)+(BP32*$BP$11)*100)/35%,2))</f>
        <v>0</v>
      </c>
      <c r="BR32" s="12"/>
      <c r="BS32" s="12"/>
      <c r="BT32" s="12"/>
      <c r="BU32" s="12"/>
      <c r="BV32" s="12"/>
      <c r="BW32" s="13">
        <f>IF(OR($G$4="MEDIA",$G$4="BASICA - TERCER CICLO"),ROUND(((BR32*$BR$11)+(BS32*$BS$11)+(BT32*$BT$11)+(BU32*$BU$11)+(BV32*$BV$11)*100)/35%,2),ROUND(((BR32*$BR$11)+(BS32*$BS$11)+(BT32*$BT$11)+(BU32*$BU$11)+(BV32*$BP$11)*100)/35%,2))</f>
        <v>0</v>
      </c>
      <c r="BX32" s="12"/>
      <c r="BY32" s="12"/>
      <c r="BZ32" s="12"/>
      <c r="CA32" s="13">
        <f>IF(OR($G$4="MEDIA",$G$4="BASICA - TERCER CICLO"),ROUND(((BX32*$BX$11)+(BY32*$BY$11)+(BZ32*$BZ$11)*100)/30%,2),ROUND(((BX32*$BX$11)+(BY32*$BY$11)+(BZ32*$BZ$11)*100)/30%,2))</f>
        <v>0</v>
      </c>
      <c r="CB32" s="12"/>
      <c r="CC32" s="14">
        <f>IF(OR($G$4="MEDIA",$G$4="BASICA - TERCER CICLO"),ROUND((CB32*$BI$11),2),ROUND((CB32*$BI$11),0))</f>
        <v>0</v>
      </c>
      <c r="CD32" s="28">
        <f>IF(OR($G$4="MEDIA",$G$4="BASICA - TERCER CICLO"),ROUND((BQ32+BW32+CA32+CC32),1),IF($G$4="BASICA",ROUND((BQ32+BW32+CA32+CC32),0),ROUND((BQ32+BW32+CA32+CC32),1)))</f>
        <v>0</v>
      </c>
      <c r="CE32" s="28">
        <f>IF($G$4 = "MEDIA",ROUND(((Y32+AR32+BK32+CD32)/4),0),ROUND(((Y32+AR32+BK32)/3),0))</f>
        <v>0</v>
      </c>
      <c r="CF32" s="21"/>
      <c r="CG32" s="28">
        <f>IF(AND(CE32&lt;5,$G$4="BASICA"),ROUND((CE32+CF32)/2,0),IF(AND(CE32&lt;6,$G$4="MEDIA"),ROUND((CE32+CF32)/2,0),CE32))</f>
        <v>0</v>
      </c>
      <c r="CH32" s="16" t="str">
        <f>IF($G$4="MEDIA",IF(CG32&gt;=6,"Aprobado","Reprobado"),IF(CG32&gt;=5,"Aprobado","Reprobado"))</f>
        <v>Reprobado</v>
      </c>
    </row>
    <row r="33" spans="1:86" customHeight="1" ht="20.25">
      <c r="A33" s="39">
        <v>21</v>
      </c>
      <c r="B33" s="2">
        <v>10635190</v>
      </c>
      <c r="C33" s="2">
        <v>4882</v>
      </c>
      <c r="D33" s="2">
        <v>26964</v>
      </c>
      <c r="E33" s="2" t="s">
        <v>58</v>
      </c>
      <c r="F33" s="40" t="s">
        <v>37</v>
      </c>
      <c r="G33" s="31"/>
      <c r="H33" s="7"/>
      <c r="I33" s="7"/>
      <c r="J33" s="7"/>
      <c r="K33" s="7"/>
      <c r="L33" s="46">
        <f>IF(OR($G$4="MEDIA",$G$4="BASICA - TERCER CICLO"),ROUND(((G33*$G$11)+(H33*$H$11)+(I33*$I$11)+(J33*$J$11)+(K33*$K$11)*100)/35%,2),ROUND((G33*$G$11)+(H33*$H$11)+(I33*$I$11)+(J33*$J$11)+(K33*$K$11),2))</f>
        <v>0</v>
      </c>
      <c r="M33" s="7"/>
      <c r="N33" s="7"/>
      <c r="O33" s="7"/>
      <c r="P33" s="7"/>
      <c r="Q33" s="7"/>
      <c r="R33" s="46">
        <f>IF(OR($G$4="MEDIA",$G$4="BASICA - TERCER CICLO"),ROUND(((M33*$M$11)+(N33*$N$11)+(O33*$O$11)+(P33*$P$11)+(Q33*$Q$11)*100)/35%,2),ROUND((M33*$M$11)+(N33*$N$11)+(O33*$O$11)+(P33*$P$11)+(Q33*$Q$11),2))</f>
        <v>0</v>
      </c>
      <c r="S33" s="7"/>
      <c r="T33" s="7"/>
      <c r="U33" s="7"/>
      <c r="V33" s="13">
        <f>IF(OR($G$4="MEDIA",$G$4="BASICA - TERCER CICLO"),ROUND(((S33*$S$11)+(T33*$T$11)+(U33*$U$11)*100)/30%,2),ROUND(((S33*$S$11)+(T33*$T$11)+(U33*$U$11)*100)/30%,2))</f>
        <v>0</v>
      </c>
      <c r="W33" s="7"/>
      <c r="X33" s="14">
        <f>IF(OR($G$4="MEDIA",$G$4="BASICA - TERCER CICLO"),ROUND((W33*$W$11),2),ROUND((W33*$W$11),0))</f>
        <v>0</v>
      </c>
      <c r="Y33" s="47">
        <f>ROUND((L33+R33+V33)/3,1)</f>
        <v>0</v>
      </c>
      <c r="Z33" s="7"/>
      <c r="AA33" s="7"/>
      <c r="AB33" s="7"/>
      <c r="AC33" s="7"/>
      <c r="AD33" s="7"/>
      <c r="AE33" s="46">
        <f>IF(OR($G$4="MEDIA",$G$4="BASICA - TERCER CICLO"),ROUND(((Z33*$Z$11)+(AA33*$AA$11)+(AB33*$AB$11)+(AC33*$AC$11)+(AD33*$AD$11)*100)/35%,2),ROUND((Z33*$Z$11)+(AA33*$AA$11)+(AB33*$AB$11)+(AC33*$AC$11)+(AD33*$AD$11),2))</f>
        <v>0</v>
      </c>
      <c r="AF33" s="7"/>
      <c r="AG33" s="7"/>
      <c r="AH33" s="7"/>
      <c r="AI33" s="7"/>
      <c r="AJ33" s="7"/>
      <c r="AK33" s="46">
        <f>IF(OR($G$4="MEDIA",$G$4="BASICA - TERCER CICLO"),ROUND(((AF33*$AF$11)+(AG33*$AG$11)+(AH33*$AH$11)+(AI33*$AI$11)+(AJ33*$AJ$11)*100)/35%,2),ROUND((AF33*$AF$11)+(AG33*$AG$11)+(AH33*$AH$11)+(AI33*$AI$11)+(AJ33*$AJ$11),2))</f>
        <v>0</v>
      </c>
      <c r="AL33" s="7"/>
      <c r="AM33" s="7"/>
      <c r="AN33" s="7"/>
      <c r="AO33" s="46">
        <f>IF(OR($G$4="MEDIA",$G$4="BASICA - TERCER CICLO"),ROUND(((AL33*$AL$11)+(AM33*$AM$11)+(AN33*$AN$11)*100)/30%,2),ROUND(((AL33*$AL$11)+(AM33*$AM$11)+(AN33*$AN$11)*100)/30%,2))</f>
        <v>0</v>
      </c>
      <c r="AP33" s="7"/>
      <c r="AQ33" s="14">
        <f>IF(OR($G$4="MEDIA",$G$4="BASICA - TERCER CICLO"),ROUND((AP33*$AP$11),2),ROUND((AP33*$AP$11),0))</f>
        <v>0</v>
      </c>
      <c r="AR33" s="47">
        <f>ROUND((AE33+AK33+AO33)/3,1)</f>
        <v>0</v>
      </c>
      <c r="AS33" s="7"/>
      <c r="AT33" s="7"/>
      <c r="AU33" s="7"/>
      <c r="AV33" s="7"/>
      <c r="AW33" s="7"/>
      <c r="AX33" s="46">
        <f>IF(OR($G$4="MEDIA",$G$4="BASICA - TERCER CICLO"),ROUND(((AS33*$AS$11)+(AT33*$AT$11)+(AU33*$AU$11)+(AV33*$AV$11)+(AW33*$AW$11)*100)/35%,2),ROUND((AS33*$AS$11)+(AT33*$AT$11)+(AU33*$AU$11)+(AV33*$AV$11)+(AW33*$AW$11),2))</f>
        <v>0</v>
      </c>
      <c r="AY33" s="7"/>
      <c r="AZ33" s="7"/>
      <c r="BA33" s="7"/>
      <c r="BB33" s="7"/>
      <c r="BC33" s="7"/>
      <c r="BD33" s="46">
        <f>IF(OR($G$4="MEDIA",$G$4="BASICA - TERCER CICLO"),ROUND(((AY33*$AY$11)+(AZ33*$AZ$11)+(BA33*$BA$11)+(BB33*$BB$11)+(BC33*$BC$11)*100)/35%,2),ROUND((AY33*$AY$11)+(AZ33*$AZ$11)+(BA33*$BA$11)+(BB33*$BB$11)+(BC33*$BC$11),2))</f>
        <v>0</v>
      </c>
      <c r="BE33" s="7"/>
      <c r="BF33" s="7"/>
      <c r="BG33" s="7"/>
      <c r="BH33" s="46">
        <f>IF(OR($G$4="MEDIA",$G$4="BASICA - TERCER CICLO"),ROUND(((BE33*$BE$11)+(BF33*$BF$11)+(BG33*$BG$11)*100)/30%,2),ROUND(((BE33*$BE$11)+(BF33*$BF$11)+(BG33*$BG$11)*100)/30%,2))</f>
        <v>0</v>
      </c>
      <c r="BI33" s="7"/>
      <c r="BJ33" s="14">
        <f>IF(OR($G$4="MEDIA",$G$4="BASICA - TERCER CICLO"),ROUND((BI33*$BI$11),2),ROUND((BI33*$BI$11),0))</f>
        <v>0</v>
      </c>
      <c r="BK33" s="47">
        <f>ROUND((AX33+BD33+BH33)/3,1)</f>
        <v>0</v>
      </c>
      <c r="BL33" s="7"/>
      <c r="BM33" s="7"/>
      <c r="BN33" s="7"/>
      <c r="BO33" s="7"/>
      <c r="BP33" s="7"/>
      <c r="BQ33" s="13">
        <f>IF(OR($G$4="MEDIA",$G$4="BASICA - TERCER CICLO"),ROUND(((BL33*$BL$11)+(BM33*$BM$11)+(BN33*$BN$11)+(BO33*$BO$11)+(BP33*$BP$11)*100)/35%,2),ROUND(((BL33*$BL$11)+(BM33*$BM$11)+(BN33*$BN$11)+(BO33*$BO$11)+(BP33*$BP$11)*100)/35%,2))</f>
        <v>0</v>
      </c>
      <c r="BR33" s="7"/>
      <c r="BS33" s="7"/>
      <c r="BT33" s="7"/>
      <c r="BU33" s="7"/>
      <c r="BV33" s="7"/>
      <c r="BW33" s="13">
        <f>IF(OR($G$4="MEDIA",$G$4="BASICA - TERCER CICLO"),ROUND(((BR33*$BR$11)+(BS33*$BS$11)+(BT33*$BT$11)+(BU33*$BU$11)+(BV33*$BV$11)*100)/35%,2),ROUND(((BR33*$BR$11)+(BS33*$BS$11)+(BT33*$BT$11)+(BU33*$BU$11)+(BV33*$BP$11)*100)/35%,2))</f>
        <v>0</v>
      </c>
      <c r="BX33" s="7"/>
      <c r="BY33" s="7"/>
      <c r="BZ33" s="7"/>
      <c r="CA33" s="13">
        <f>IF(OR($G$4="MEDIA",$G$4="BASICA - TERCER CICLO"),ROUND(((BX33*$BX$11)+(BY33*$BY$11)+(BZ33*$BZ$11)*100)/30%,2),ROUND(((BX33*$BX$11)+(BY33*$BY$11)+(BZ33*$BZ$11)*100)/30%,2))</f>
        <v>0</v>
      </c>
      <c r="CB33" s="7"/>
      <c r="CC33" s="14">
        <f>IF(OR($G$4="MEDIA",$G$4="BASICA - TERCER CICLO"),ROUND((CB33*$BI$11),2),ROUND((CB33*$BI$11),0))</f>
        <v>0</v>
      </c>
      <c r="CD33" s="28">
        <f>IF(OR($G$4="MEDIA",$G$4="BASICA - TERCER CICLO"),ROUND((BQ33+BW33+CA33+CC33),1),IF($G$4="BASICA",ROUND((BQ33+BW33+CA33+CC33),0),ROUND((BQ33+BW33+CA33+CC33),1)))</f>
        <v>0</v>
      </c>
      <c r="CE33" s="28">
        <f>IF($G$4 = "MEDIA",ROUND(((Y33+AR33+BK33+CD33)/4),0),ROUND(((Y33+AR33+BK33)/3),0))</f>
        <v>0</v>
      </c>
      <c r="CF33" s="20"/>
      <c r="CG33" s="28">
        <f>IF(AND(CE33&lt;5,$G$4="BASICA"),ROUND((CE33+CF33)/2,0),IF(AND(CE33&lt;6,$G$4="MEDIA"),ROUND((CE33+CF33)/2,0),CE33))</f>
        <v>0</v>
      </c>
      <c r="CH33" s="17" t="str">
        <f>IF($G$4="MEDIA",IF(CG33&gt;=6,"Aprobado","Reprobado"),IF(CG33&gt;=5,"Aprobado","Reprobado"))</f>
        <v>Reprobado</v>
      </c>
    </row>
    <row r="34" spans="1:86" customHeight="1" ht="20.25">
      <c r="A34" s="41">
        <v>22</v>
      </c>
      <c r="B34" s="3">
        <v>10522941</v>
      </c>
      <c r="C34" s="3">
        <v>4677</v>
      </c>
      <c r="D34" s="3">
        <v>26965</v>
      </c>
      <c r="E34" s="3" t="s">
        <v>59</v>
      </c>
      <c r="F34" s="42" t="s">
        <v>39</v>
      </c>
      <c r="G34" s="32"/>
      <c r="H34" s="12"/>
      <c r="I34" s="12"/>
      <c r="J34" s="12"/>
      <c r="K34" s="12"/>
      <c r="L34" s="46">
        <f>IF(OR($G$4="MEDIA",$G$4="BASICA - TERCER CICLO"),ROUND(((G34*$G$11)+(H34*$H$11)+(I34*$I$11)+(J34*$J$11)+(K34*$K$11)*100)/35%,2),ROUND((G34*$G$11)+(H34*$H$11)+(I34*$I$11)+(J34*$J$11)+(K34*$K$11),2))</f>
        <v>0</v>
      </c>
      <c r="M34" s="12"/>
      <c r="N34" s="12"/>
      <c r="O34" s="12"/>
      <c r="P34" s="12"/>
      <c r="Q34" s="12"/>
      <c r="R34" s="46">
        <f>IF(OR($G$4="MEDIA",$G$4="BASICA - TERCER CICLO"),ROUND(((M34*$M$11)+(N34*$N$11)+(O34*$O$11)+(P34*$P$11)+(Q34*$Q$11)*100)/35%,2),ROUND((M34*$M$11)+(N34*$N$11)+(O34*$O$11)+(P34*$P$11)+(Q34*$Q$11),2))</f>
        <v>0</v>
      </c>
      <c r="S34" s="12"/>
      <c r="T34" s="12"/>
      <c r="U34" s="12"/>
      <c r="V34" s="13">
        <f>IF(OR($G$4="MEDIA",$G$4="BASICA - TERCER CICLO"),ROUND(((S34*$S$11)+(T34*$T$11)+(U34*$U$11)*100)/30%,2),ROUND(((S34*$S$11)+(T34*$T$11)+(U34*$U$11)*100)/30%,2))</f>
        <v>0</v>
      </c>
      <c r="W34" s="12"/>
      <c r="X34" s="14">
        <f>IF(OR($G$4="MEDIA",$G$4="BASICA - TERCER CICLO"),ROUND((W34*$W$11),2),ROUND((W34*$W$11),0))</f>
        <v>0</v>
      </c>
      <c r="Y34" s="47">
        <f>ROUND((L34+R34+V34)/3,1)</f>
        <v>0</v>
      </c>
      <c r="Z34" s="12"/>
      <c r="AA34" s="12"/>
      <c r="AB34" s="12"/>
      <c r="AC34" s="12"/>
      <c r="AD34" s="12"/>
      <c r="AE34" s="46">
        <f>IF(OR($G$4="MEDIA",$G$4="BASICA - TERCER CICLO"),ROUND(((Z34*$Z$11)+(AA34*$AA$11)+(AB34*$AB$11)+(AC34*$AC$11)+(AD34*$AD$11)*100)/35%,2),ROUND((Z34*$Z$11)+(AA34*$AA$11)+(AB34*$AB$11)+(AC34*$AC$11)+(AD34*$AD$11),2))</f>
        <v>0</v>
      </c>
      <c r="AF34" s="12"/>
      <c r="AG34" s="12"/>
      <c r="AH34" s="12"/>
      <c r="AI34" s="12"/>
      <c r="AJ34" s="12"/>
      <c r="AK34" s="46">
        <f>IF(OR($G$4="MEDIA",$G$4="BASICA - TERCER CICLO"),ROUND(((AF34*$AF$11)+(AG34*$AG$11)+(AH34*$AH$11)+(AI34*$AI$11)+(AJ34*$AJ$11)*100)/35%,2),ROUND((AF34*$AF$11)+(AG34*$AG$11)+(AH34*$AH$11)+(AI34*$AI$11)+(AJ34*$AJ$11),2))</f>
        <v>0</v>
      </c>
      <c r="AL34" s="12"/>
      <c r="AM34" s="12"/>
      <c r="AN34" s="12"/>
      <c r="AO34" s="46">
        <f>IF(OR($G$4="MEDIA",$G$4="BASICA - TERCER CICLO"),ROUND(((AL34*$AL$11)+(AM34*$AM$11)+(AN34*$AN$11)*100)/30%,2),ROUND(((AL34*$AL$11)+(AM34*$AM$11)+(AN34*$AN$11)*100)/30%,2))</f>
        <v>0</v>
      </c>
      <c r="AP34" s="12"/>
      <c r="AQ34" s="14">
        <f>IF(OR($G$4="MEDIA",$G$4="BASICA - TERCER CICLO"),ROUND((AP34*$AP$11),2),ROUND((AP34*$AP$11),0))</f>
        <v>0</v>
      </c>
      <c r="AR34" s="47">
        <f>ROUND((AE34+AK34+AO34)/3,1)</f>
        <v>0</v>
      </c>
      <c r="AS34" s="12"/>
      <c r="AT34" s="12"/>
      <c r="AU34" s="12"/>
      <c r="AV34" s="12"/>
      <c r="AW34" s="12"/>
      <c r="AX34" s="46">
        <f>IF(OR($G$4="MEDIA",$G$4="BASICA - TERCER CICLO"),ROUND(((AS34*$AS$11)+(AT34*$AT$11)+(AU34*$AU$11)+(AV34*$AV$11)+(AW34*$AW$11)*100)/35%,2),ROUND((AS34*$AS$11)+(AT34*$AT$11)+(AU34*$AU$11)+(AV34*$AV$11)+(AW34*$AW$11),2))</f>
        <v>0</v>
      </c>
      <c r="AY34" s="12"/>
      <c r="AZ34" s="12"/>
      <c r="BA34" s="12"/>
      <c r="BB34" s="12"/>
      <c r="BC34" s="12"/>
      <c r="BD34" s="46">
        <f>IF(OR($G$4="MEDIA",$G$4="BASICA - TERCER CICLO"),ROUND(((AY34*$AY$11)+(AZ34*$AZ$11)+(BA34*$BA$11)+(BB34*$BB$11)+(BC34*$BC$11)*100)/35%,2),ROUND((AY34*$AY$11)+(AZ34*$AZ$11)+(BA34*$BA$11)+(BB34*$BB$11)+(BC34*$BC$11),2))</f>
        <v>0</v>
      </c>
      <c r="BE34" s="12"/>
      <c r="BF34" s="12"/>
      <c r="BG34" s="12"/>
      <c r="BH34" s="46">
        <f>IF(OR($G$4="MEDIA",$G$4="BASICA - TERCER CICLO"),ROUND(((BE34*$BE$11)+(BF34*$BF$11)+(BG34*$BG$11)*100)/30%,2),ROUND(((BE34*$BE$11)+(BF34*$BF$11)+(BG34*$BG$11)*100)/30%,2))</f>
        <v>0</v>
      </c>
      <c r="BI34" s="12"/>
      <c r="BJ34" s="14">
        <f>IF(OR($G$4="MEDIA",$G$4="BASICA - TERCER CICLO"),ROUND((BI34*$BI$11),2),ROUND((BI34*$BI$11),0))</f>
        <v>0</v>
      </c>
      <c r="BK34" s="47">
        <f>ROUND((AX34+BD34+BH34)/3,1)</f>
        <v>0</v>
      </c>
      <c r="BL34" s="12"/>
      <c r="BM34" s="12"/>
      <c r="BN34" s="12"/>
      <c r="BO34" s="12"/>
      <c r="BP34" s="12"/>
      <c r="BQ34" s="13">
        <f>IF(OR($G$4="MEDIA",$G$4="BASICA - TERCER CICLO"),ROUND(((BL34*$BL$11)+(BM34*$BM$11)+(BN34*$BN$11)+(BO34*$BO$11)+(BP34*$BP$11)*100)/35%,2),ROUND(((BL34*$BL$11)+(BM34*$BM$11)+(BN34*$BN$11)+(BO34*$BO$11)+(BP34*$BP$11)*100)/35%,2))</f>
        <v>0</v>
      </c>
      <c r="BR34" s="12"/>
      <c r="BS34" s="12"/>
      <c r="BT34" s="12"/>
      <c r="BU34" s="12"/>
      <c r="BV34" s="12"/>
      <c r="BW34" s="13">
        <f>IF(OR($G$4="MEDIA",$G$4="BASICA - TERCER CICLO"),ROUND(((BR34*$BR$11)+(BS34*$BS$11)+(BT34*$BT$11)+(BU34*$BU$11)+(BV34*$BV$11)*100)/35%,2),ROUND(((BR34*$BR$11)+(BS34*$BS$11)+(BT34*$BT$11)+(BU34*$BU$11)+(BV34*$BP$11)*100)/35%,2))</f>
        <v>0</v>
      </c>
      <c r="BX34" s="12"/>
      <c r="BY34" s="12"/>
      <c r="BZ34" s="12"/>
      <c r="CA34" s="13">
        <f>IF(OR($G$4="MEDIA",$G$4="BASICA - TERCER CICLO"),ROUND(((BX34*$BX$11)+(BY34*$BY$11)+(BZ34*$BZ$11)*100)/30%,2),ROUND(((BX34*$BX$11)+(BY34*$BY$11)+(BZ34*$BZ$11)*100)/30%,2))</f>
        <v>0</v>
      </c>
      <c r="CB34" s="12"/>
      <c r="CC34" s="14">
        <f>IF(OR($G$4="MEDIA",$G$4="BASICA - TERCER CICLO"),ROUND((CB34*$BI$11),2),ROUND((CB34*$BI$11),0))</f>
        <v>0</v>
      </c>
      <c r="CD34" s="28">
        <f>IF(OR($G$4="MEDIA",$G$4="BASICA - TERCER CICLO"),ROUND((BQ34+BW34+CA34+CC34),1),IF($G$4="BASICA",ROUND((BQ34+BW34+CA34+CC34),0),ROUND((BQ34+BW34+CA34+CC34),1)))</f>
        <v>0</v>
      </c>
      <c r="CE34" s="28">
        <f>IF($G$4 = "MEDIA",ROUND(((Y34+AR34+BK34+CD34)/4),0),ROUND(((Y34+AR34+BK34)/3),0))</f>
        <v>0</v>
      </c>
      <c r="CF34" s="21"/>
      <c r="CG34" s="28">
        <f>IF(AND(CE34&lt;5,$G$4="BASICA"),ROUND((CE34+CF34)/2,0),IF(AND(CE34&lt;6,$G$4="MEDIA"),ROUND((CE34+CF34)/2,0),CE34))</f>
        <v>0</v>
      </c>
      <c r="CH34" s="16" t="str">
        <f>IF($G$4="MEDIA",IF(CG34&gt;=6,"Aprobado","Reprobado"),IF(CG34&gt;=5,"Aprobado","Reprobado"))</f>
        <v>Reprobado</v>
      </c>
    </row>
    <row r="35" spans="1:86" customHeight="1" ht="20.25">
      <c r="A35" s="39">
        <v>23</v>
      </c>
      <c r="B35" s="2">
        <v>10150968</v>
      </c>
      <c r="C35" s="2">
        <v>4503</v>
      </c>
      <c r="D35" s="2">
        <v>26971</v>
      </c>
      <c r="E35" s="2" t="s">
        <v>60</v>
      </c>
      <c r="F35" s="40" t="s">
        <v>39</v>
      </c>
      <c r="G35" s="31"/>
      <c r="H35" s="7"/>
      <c r="I35" s="7"/>
      <c r="J35" s="7"/>
      <c r="K35" s="7"/>
      <c r="L35" s="46">
        <f>IF(OR($G$4="MEDIA",$G$4="BASICA - TERCER CICLO"),ROUND(((G35*$G$11)+(H35*$H$11)+(I35*$I$11)+(J35*$J$11)+(K35*$K$11)*100)/35%,2),ROUND((G35*$G$11)+(H35*$H$11)+(I35*$I$11)+(J35*$J$11)+(K35*$K$11),2))</f>
        <v>0</v>
      </c>
      <c r="M35" s="7"/>
      <c r="N35" s="7"/>
      <c r="O35" s="7"/>
      <c r="P35" s="7"/>
      <c r="Q35" s="7"/>
      <c r="R35" s="46">
        <f>IF(OR($G$4="MEDIA",$G$4="BASICA - TERCER CICLO"),ROUND(((M35*$M$11)+(N35*$N$11)+(O35*$O$11)+(P35*$P$11)+(Q35*$Q$11)*100)/35%,2),ROUND((M35*$M$11)+(N35*$N$11)+(O35*$O$11)+(P35*$P$11)+(Q35*$Q$11),2))</f>
        <v>0</v>
      </c>
      <c r="S35" s="7"/>
      <c r="T35" s="7"/>
      <c r="U35" s="7"/>
      <c r="V35" s="13">
        <f>IF(OR($G$4="MEDIA",$G$4="BASICA - TERCER CICLO"),ROUND(((S35*$S$11)+(T35*$T$11)+(U35*$U$11)*100)/30%,2),ROUND(((S35*$S$11)+(T35*$T$11)+(U35*$U$11)*100)/30%,2))</f>
        <v>0</v>
      </c>
      <c r="W35" s="7"/>
      <c r="X35" s="14">
        <f>IF(OR($G$4="MEDIA",$G$4="BASICA - TERCER CICLO"),ROUND((W35*$W$11),2),ROUND((W35*$W$11),0))</f>
        <v>0</v>
      </c>
      <c r="Y35" s="47">
        <f>ROUND((L35+R35+V35)/3,1)</f>
        <v>0</v>
      </c>
      <c r="Z35" s="7"/>
      <c r="AA35" s="7"/>
      <c r="AB35" s="7"/>
      <c r="AC35" s="7"/>
      <c r="AD35" s="7"/>
      <c r="AE35" s="46">
        <f>IF(OR($G$4="MEDIA",$G$4="BASICA - TERCER CICLO"),ROUND(((Z35*$Z$11)+(AA35*$AA$11)+(AB35*$AB$11)+(AC35*$AC$11)+(AD35*$AD$11)*100)/35%,2),ROUND((Z35*$Z$11)+(AA35*$AA$11)+(AB35*$AB$11)+(AC35*$AC$11)+(AD35*$AD$11),2))</f>
        <v>0</v>
      </c>
      <c r="AF35" s="7"/>
      <c r="AG35" s="7"/>
      <c r="AH35" s="7"/>
      <c r="AI35" s="7"/>
      <c r="AJ35" s="7"/>
      <c r="AK35" s="46">
        <f>IF(OR($G$4="MEDIA",$G$4="BASICA - TERCER CICLO"),ROUND(((AF35*$AF$11)+(AG35*$AG$11)+(AH35*$AH$11)+(AI35*$AI$11)+(AJ35*$AJ$11)*100)/35%,2),ROUND((AF35*$AF$11)+(AG35*$AG$11)+(AH35*$AH$11)+(AI35*$AI$11)+(AJ35*$AJ$11),2))</f>
        <v>0</v>
      </c>
      <c r="AL35" s="7"/>
      <c r="AM35" s="7"/>
      <c r="AN35" s="7"/>
      <c r="AO35" s="46">
        <f>IF(OR($G$4="MEDIA",$G$4="BASICA - TERCER CICLO"),ROUND(((AL35*$AL$11)+(AM35*$AM$11)+(AN35*$AN$11)*100)/30%,2),ROUND(((AL35*$AL$11)+(AM35*$AM$11)+(AN35*$AN$11)*100)/30%,2))</f>
        <v>0</v>
      </c>
      <c r="AP35" s="7"/>
      <c r="AQ35" s="14">
        <f>IF(OR($G$4="MEDIA",$G$4="BASICA - TERCER CICLO"),ROUND((AP35*$AP$11),2),ROUND((AP35*$AP$11),0))</f>
        <v>0</v>
      </c>
      <c r="AR35" s="47">
        <f>ROUND((AE35+AK35+AO35)/3,1)</f>
        <v>0</v>
      </c>
      <c r="AS35" s="7"/>
      <c r="AT35" s="7"/>
      <c r="AU35" s="7"/>
      <c r="AV35" s="7"/>
      <c r="AW35" s="7"/>
      <c r="AX35" s="46">
        <f>IF(OR($G$4="MEDIA",$G$4="BASICA - TERCER CICLO"),ROUND(((AS35*$AS$11)+(AT35*$AT$11)+(AU35*$AU$11)+(AV35*$AV$11)+(AW35*$AW$11)*100)/35%,2),ROUND((AS35*$AS$11)+(AT35*$AT$11)+(AU35*$AU$11)+(AV35*$AV$11)+(AW35*$AW$11),2))</f>
        <v>0</v>
      </c>
      <c r="AY35" s="7"/>
      <c r="AZ35" s="7"/>
      <c r="BA35" s="7"/>
      <c r="BB35" s="7"/>
      <c r="BC35" s="7"/>
      <c r="BD35" s="46">
        <f>IF(OR($G$4="MEDIA",$G$4="BASICA - TERCER CICLO"),ROUND(((AY35*$AY$11)+(AZ35*$AZ$11)+(BA35*$BA$11)+(BB35*$BB$11)+(BC35*$BC$11)*100)/35%,2),ROUND((AY35*$AY$11)+(AZ35*$AZ$11)+(BA35*$BA$11)+(BB35*$BB$11)+(BC35*$BC$11),2))</f>
        <v>0</v>
      </c>
      <c r="BE35" s="7"/>
      <c r="BF35" s="7"/>
      <c r="BG35" s="7"/>
      <c r="BH35" s="46">
        <f>IF(OR($G$4="MEDIA",$G$4="BASICA - TERCER CICLO"),ROUND(((BE35*$BE$11)+(BF35*$BF$11)+(BG35*$BG$11)*100)/30%,2),ROUND(((BE35*$BE$11)+(BF35*$BF$11)+(BG35*$BG$11)*100)/30%,2))</f>
        <v>0</v>
      </c>
      <c r="BI35" s="7"/>
      <c r="BJ35" s="14">
        <f>IF(OR($G$4="MEDIA",$G$4="BASICA - TERCER CICLO"),ROUND((BI35*$BI$11),2),ROUND((BI35*$BI$11),0))</f>
        <v>0</v>
      </c>
      <c r="BK35" s="47">
        <f>ROUND((AX35+BD35+BH35)/3,1)</f>
        <v>0</v>
      </c>
      <c r="BL35" s="7"/>
      <c r="BM35" s="7"/>
      <c r="BN35" s="7"/>
      <c r="BO35" s="7"/>
      <c r="BP35" s="7"/>
      <c r="BQ35" s="13">
        <f>IF(OR($G$4="MEDIA",$G$4="BASICA - TERCER CICLO"),ROUND(((BL35*$BL$11)+(BM35*$BM$11)+(BN35*$BN$11)+(BO35*$BO$11)+(BP35*$BP$11)*100)/35%,2),ROUND(((BL35*$BL$11)+(BM35*$BM$11)+(BN35*$BN$11)+(BO35*$BO$11)+(BP35*$BP$11)*100)/35%,2))</f>
        <v>0</v>
      </c>
      <c r="BR35" s="7"/>
      <c r="BS35" s="7"/>
      <c r="BT35" s="7"/>
      <c r="BU35" s="7"/>
      <c r="BV35" s="7"/>
      <c r="BW35" s="13">
        <f>IF(OR($G$4="MEDIA",$G$4="BASICA - TERCER CICLO"),ROUND(((BR35*$BR$11)+(BS35*$BS$11)+(BT35*$BT$11)+(BU35*$BU$11)+(BV35*$BV$11)*100)/35%,2),ROUND(((BR35*$BR$11)+(BS35*$BS$11)+(BT35*$BT$11)+(BU35*$BU$11)+(BV35*$BP$11)*100)/35%,2))</f>
        <v>0</v>
      </c>
      <c r="BX35" s="7"/>
      <c r="BY35" s="7"/>
      <c r="BZ35" s="7"/>
      <c r="CA35" s="13">
        <f>IF(OR($G$4="MEDIA",$G$4="BASICA - TERCER CICLO"),ROUND(((BX35*$BX$11)+(BY35*$BY$11)+(BZ35*$BZ$11)*100)/30%,2),ROUND(((BX35*$BX$11)+(BY35*$BY$11)+(BZ35*$BZ$11)*100)/30%,2))</f>
        <v>0</v>
      </c>
      <c r="CB35" s="7"/>
      <c r="CC35" s="14">
        <f>IF(OR($G$4="MEDIA",$G$4="BASICA - TERCER CICLO"),ROUND((CB35*$BI$11),2),ROUND((CB35*$BI$11),0))</f>
        <v>0</v>
      </c>
      <c r="CD35" s="28">
        <f>IF(OR($G$4="MEDIA",$G$4="BASICA - TERCER CICLO"),ROUND((BQ35+BW35+CA35+CC35),1),IF($G$4="BASICA",ROUND((BQ35+BW35+CA35+CC35),0),ROUND((BQ35+BW35+CA35+CC35),1)))</f>
        <v>0</v>
      </c>
      <c r="CE35" s="28">
        <f>IF($G$4 = "MEDIA",ROUND(((Y35+AR35+BK35+CD35)/4),0),ROUND(((Y35+AR35+BK35)/3),0))</f>
        <v>0</v>
      </c>
      <c r="CF35" s="20"/>
      <c r="CG35" s="28">
        <f>IF(AND(CE35&lt;5,$G$4="BASICA"),ROUND((CE35+CF35)/2,0),IF(AND(CE35&lt;6,$G$4="MEDIA"),ROUND((CE35+CF35)/2,0),CE35))</f>
        <v>0</v>
      </c>
      <c r="CH35" s="17" t="str">
        <f>IF($G$4="MEDIA",IF(CG35&gt;=6,"Aprobado","Reprobado"),IF(CG35&gt;=5,"Aprobado","Reprobado"))</f>
        <v>Reprobado</v>
      </c>
    </row>
    <row r="36" spans="1:86" customHeight="1" ht="20.25">
      <c r="A36" s="41">
        <v>24</v>
      </c>
      <c r="B36" s="3">
        <v>10335720</v>
      </c>
      <c r="C36" s="3">
        <v>5083</v>
      </c>
      <c r="D36" s="3">
        <v>26972</v>
      </c>
      <c r="E36" s="3" t="s">
        <v>61</v>
      </c>
      <c r="F36" s="42" t="s">
        <v>37</v>
      </c>
      <c r="G36" s="32"/>
      <c r="H36" s="12"/>
      <c r="I36" s="12"/>
      <c r="J36" s="12"/>
      <c r="K36" s="12"/>
      <c r="L36" s="46">
        <f>IF(OR($G$4="MEDIA",$G$4="BASICA - TERCER CICLO"),ROUND(((G36*$G$11)+(H36*$H$11)+(I36*$I$11)+(J36*$J$11)+(K36*$K$11)*100)/35%,2),ROUND((G36*$G$11)+(H36*$H$11)+(I36*$I$11)+(J36*$J$11)+(K36*$K$11),2))</f>
        <v>0</v>
      </c>
      <c r="M36" s="12"/>
      <c r="N36" s="12"/>
      <c r="O36" s="12"/>
      <c r="P36" s="12"/>
      <c r="Q36" s="12"/>
      <c r="R36" s="46">
        <f>IF(OR($G$4="MEDIA",$G$4="BASICA - TERCER CICLO"),ROUND(((M36*$M$11)+(N36*$N$11)+(O36*$O$11)+(P36*$P$11)+(Q36*$Q$11)*100)/35%,2),ROUND((M36*$M$11)+(N36*$N$11)+(O36*$O$11)+(P36*$P$11)+(Q36*$Q$11),2))</f>
        <v>0</v>
      </c>
      <c r="S36" s="12"/>
      <c r="T36" s="12"/>
      <c r="U36" s="12"/>
      <c r="V36" s="13">
        <f>IF(OR($G$4="MEDIA",$G$4="BASICA - TERCER CICLO"),ROUND(((S36*$S$11)+(T36*$T$11)+(U36*$U$11)*100)/30%,2),ROUND(((S36*$S$11)+(T36*$T$11)+(U36*$U$11)*100)/30%,2))</f>
        <v>0</v>
      </c>
      <c r="W36" s="12"/>
      <c r="X36" s="14">
        <f>IF(OR($G$4="MEDIA",$G$4="BASICA - TERCER CICLO"),ROUND((W36*$W$11),2),ROUND((W36*$W$11),0))</f>
        <v>0</v>
      </c>
      <c r="Y36" s="47">
        <f>ROUND((L36+R36+V36)/3,1)</f>
        <v>0</v>
      </c>
      <c r="Z36" s="12"/>
      <c r="AA36" s="12"/>
      <c r="AB36" s="12"/>
      <c r="AC36" s="12"/>
      <c r="AD36" s="12"/>
      <c r="AE36" s="46">
        <f>IF(OR($G$4="MEDIA",$G$4="BASICA - TERCER CICLO"),ROUND(((Z36*$Z$11)+(AA36*$AA$11)+(AB36*$AB$11)+(AC36*$AC$11)+(AD36*$AD$11)*100)/35%,2),ROUND((Z36*$Z$11)+(AA36*$AA$11)+(AB36*$AB$11)+(AC36*$AC$11)+(AD36*$AD$11),2))</f>
        <v>0</v>
      </c>
      <c r="AF36" s="12"/>
      <c r="AG36" s="12"/>
      <c r="AH36" s="12"/>
      <c r="AI36" s="12"/>
      <c r="AJ36" s="12"/>
      <c r="AK36" s="46">
        <f>IF(OR($G$4="MEDIA",$G$4="BASICA - TERCER CICLO"),ROUND(((AF36*$AF$11)+(AG36*$AG$11)+(AH36*$AH$11)+(AI36*$AI$11)+(AJ36*$AJ$11)*100)/35%,2),ROUND((AF36*$AF$11)+(AG36*$AG$11)+(AH36*$AH$11)+(AI36*$AI$11)+(AJ36*$AJ$11),2))</f>
        <v>0</v>
      </c>
      <c r="AL36" s="12"/>
      <c r="AM36" s="12"/>
      <c r="AN36" s="12"/>
      <c r="AO36" s="46">
        <f>IF(OR($G$4="MEDIA",$G$4="BASICA - TERCER CICLO"),ROUND(((AL36*$AL$11)+(AM36*$AM$11)+(AN36*$AN$11)*100)/30%,2),ROUND(((AL36*$AL$11)+(AM36*$AM$11)+(AN36*$AN$11)*100)/30%,2))</f>
        <v>0</v>
      </c>
      <c r="AP36" s="12"/>
      <c r="AQ36" s="14">
        <f>IF(OR($G$4="MEDIA",$G$4="BASICA - TERCER CICLO"),ROUND((AP36*$AP$11),2),ROUND((AP36*$AP$11),0))</f>
        <v>0</v>
      </c>
      <c r="AR36" s="47">
        <f>ROUND((AE36+AK36+AO36)/3,1)</f>
        <v>0</v>
      </c>
      <c r="AS36" s="12"/>
      <c r="AT36" s="12"/>
      <c r="AU36" s="12"/>
      <c r="AV36" s="12"/>
      <c r="AW36" s="12"/>
      <c r="AX36" s="46">
        <f>IF(OR($G$4="MEDIA",$G$4="BASICA - TERCER CICLO"),ROUND(((AS36*$AS$11)+(AT36*$AT$11)+(AU36*$AU$11)+(AV36*$AV$11)+(AW36*$AW$11)*100)/35%,2),ROUND((AS36*$AS$11)+(AT36*$AT$11)+(AU36*$AU$11)+(AV36*$AV$11)+(AW36*$AW$11),2))</f>
        <v>0</v>
      </c>
      <c r="AY36" s="12"/>
      <c r="AZ36" s="12"/>
      <c r="BA36" s="12"/>
      <c r="BB36" s="12"/>
      <c r="BC36" s="12"/>
      <c r="BD36" s="46">
        <f>IF(OR($G$4="MEDIA",$G$4="BASICA - TERCER CICLO"),ROUND(((AY36*$AY$11)+(AZ36*$AZ$11)+(BA36*$BA$11)+(BB36*$BB$11)+(BC36*$BC$11)*100)/35%,2),ROUND((AY36*$AY$11)+(AZ36*$AZ$11)+(BA36*$BA$11)+(BB36*$BB$11)+(BC36*$BC$11),2))</f>
        <v>0</v>
      </c>
      <c r="BE36" s="12"/>
      <c r="BF36" s="12"/>
      <c r="BG36" s="12"/>
      <c r="BH36" s="46">
        <f>IF(OR($G$4="MEDIA",$G$4="BASICA - TERCER CICLO"),ROUND(((BE36*$BE$11)+(BF36*$BF$11)+(BG36*$BG$11)*100)/30%,2),ROUND(((BE36*$BE$11)+(BF36*$BF$11)+(BG36*$BG$11)*100)/30%,2))</f>
        <v>0</v>
      </c>
      <c r="BI36" s="12"/>
      <c r="BJ36" s="14">
        <f>IF(OR($G$4="MEDIA",$G$4="BASICA - TERCER CICLO"),ROUND((BI36*$BI$11),2),ROUND((BI36*$BI$11),0))</f>
        <v>0</v>
      </c>
      <c r="BK36" s="47">
        <f>ROUND((AX36+BD36+BH36)/3,1)</f>
        <v>0</v>
      </c>
      <c r="BL36" s="12"/>
      <c r="BM36" s="12"/>
      <c r="BN36" s="12"/>
      <c r="BO36" s="12"/>
      <c r="BP36" s="12"/>
      <c r="BQ36" s="13">
        <f>IF(OR($G$4="MEDIA",$G$4="BASICA - TERCER CICLO"),ROUND(((BL36*$BL$11)+(BM36*$BM$11)+(BN36*$BN$11)+(BO36*$BO$11)+(BP36*$BP$11)*100)/35%,2),ROUND(((BL36*$BL$11)+(BM36*$BM$11)+(BN36*$BN$11)+(BO36*$BO$11)+(BP36*$BP$11)*100)/35%,2))</f>
        <v>0</v>
      </c>
      <c r="BR36" s="12"/>
      <c r="BS36" s="12"/>
      <c r="BT36" s="12"/>
      <c r="BU36" s="12"/>
      <c r="BV36" s="12"/>
      <c r="BW36" s="13">
        <f>IF(OR($G$4="MEDIA",$G$4="BASICA - TERCER CICLO"),ROUND(((BR36*$BR$11)+(BS36*$BS$11)+(BT36*$BT$11)+(BU36*$BU$11)+(BV36*$BV$11)*100)/35%,2),ROUND(((BR36*$BR$11)+(BS36*$BS$11)+(BT36*$BT$11)+(BU36*$BU$11)+(BV36*$BP$11)*100)/35%,2))</f>
        <v>0</v>
      </c>
      <c r="BX36" s="12"/>
      <c r="BY36" s="12"/>
      <c r="BZ36" s="12"/>
      <c r="CA36" s="13">
        <f>IF(OR($G$4="MEDIA",$G$4="BASICA - TERCER CICLO"),ROUND(((BX36*$BX$11)+(BY36*$BY$11)+(BZ36*$BZ$11)*100)/30%,2),ROUND(((BX36*$BX$11)+(BY36*$BY$11)+(BZ36*$BZ$11)*100)/30%,2))</f>
        <v>0</v>
      </c>
      <c r="CB36" s="12"/>
      <c r="CC36" s="14">
        <f>IF(OR($G$4="MEDIA",$G$4="BASICA - TERCER CICLO"),ROUND((CB36*$BI$11),2),ROUND((CB36*$BI$11),0))</f>
        <v>0</v>
      </c>
      <c r="CD36" s="28">
        <f>IF(OR($G$4="MEDIA",$G$4="BASICA - TERCER CICLO"),ROUND((BQ36+BW36+CA36+CC36),1),IF($G$4="BASICA",ROUND((BQ36+BW36+CA36+CC36),0),ROUND((BQ36+BW36+CA36+CC36),1)))</f>
        <v>0</v>
      </c>
      <c r="CE36" s="28">
        <f>IF($G$4 = "MEDIA",ROUND(((Y36+AR36+BK36+CD36)/4),0),ROUND(((Y36+AR36+BK36)/3),0))</f>
        <v>0</v>
      </c>
      <c r="CF36" s="21"/>
      <c r="CG36" s="28">
        <f>IF(AND(CE36&lt;5,$G$4="BASICA"),ROUND((CE36+CF36)/2,0),IF(AND(CE36&lt;6,$G$4="MEDIA"),ROUND((CE36+CF36)/2,0),CE36))</f>
        <v>0</v>
      </c>
      <c r="CH36" s="16" t="str">
        <f>IF($G$4="MEDIA",IF(CG36&gt;=6,"Aprobado","Reprobado"),IF(CG36&gt;=5,"Aprobado","Reprobado"))</f>
        <v>Reprobado</v>
      </c>
    </row>
    <row r="37" spans="1:86" customHeight="1" ht="20.25">
      <c r="A37" s="39">
        <v>25</v>
      </c>
      <c r="B37" s="2">
        <v>10335712</v>
      </c>
      <c r="C37" s="2">
        <v>5041</v>
      </c>
      <c r="D37" s="2">
        <v>26973</v>
      </c>
      <c r="E37" s="2" t="s">
        <v>62</v>
      </c>
      <c r="F37" s="40" t="s">
        <v>39</v>
      </c>
      <c r="G37" s="31"/>
      <c r="H37" s="7"/>
      <c r="I37" s="7"/>
      <c r="J37" s="7"/>
      <c r="K37" s="7"/>
      <c r="L37" s="46">
        <f>IF(OR($G$4="MEDIA",$G$4="BASICA - TERCER CICLO"),ROUND(((G37*$G$11)+(H37*$H$11)+(I37*$I$11)+(J37*$J$11)+(K37*$K$11)*100)/35%,2),ROUND((G37*$G$11)+(H37*$H$11)+(I37*$I$11)+(J37*$J$11)+(K37*$K$11),2))</f>
        <v>0</v>
      </c>
      <c r="M37" s="7"/>
      <c r="N37" s="7"/>
      <c r="O37" s="7"/>
      <c r="P37" s="7"/>
      <c r="Q37" s="7"/>
      <c r="R37" s="46">
        <f>IF(OR($G$4="MEDIA",$G$4="BASICA - TERCER CICLO"),ROUND(((M37*$M$11)+(N37*$N$11)+(O37*$O$11)+(P37*$P$11)+(Q37*$Q$11)*100)/35%,2),ROUND((M37*$M$11)+(N37*$N$11)+(O37*$O$11)+(P37*$P$11)+(Q37*$Q$11),2))</f>
        <v>0</v>
      </c>
      <c r="S37" s="7"/>
      <c r="T37" s="7"/>
      <c r="U37" s="7"/>
      <c r="V37" s="13">
        <f>IF(OR($G$4="MEDIA",$G$4="BASICA - TERCER CICLO"),ROUND(((S37*$S$11)+(T37*$T$11)+(U37*$U$11)*100)/30%,2),ROUND(((S37*$S$11)+(T37*$T$11)+(U37*$U$11)*100)/30%,2))</f>
        <v>0</v>
      </c>
      <c r="W37" s="7"/>
      <c r="X37" s="14">
        <f>IF(OR($G$4="MEDIA",$G$4="BASICA - TERCER CICLO"),ROUND((W37*$W$11),2),ROUND((W37*$W$11),0))</f>
        <v>0</v>
      </c>
      <c r="Y37" s="47">
        <f>ROUND((L37+R37+V37)/3,1)</f>
        <v>0</v>
      </c>
      <c r="Z37" s="7"/>
      <c r="AA37" s="7"/>
      <c r="AB37" s="7"/>
      <c r="AC37" s="7"/>
      <c r="AD37" s="7"/>
      <c r="AE37" s="46">
        <f>IF(OR($G$4="MEDIA",$G$4="BASICA - TERCER CICLO"),ROUND(((Z37*$Z$11)+(AA37*$AA$11)+(AB37*$AB$11)+(AC37*$AC$11)+(AD37*$AD$11)*100)/35%,2),ROUND((Z37*$Z$11)+(AA37*$AA$11)+(AB37*$AB$11)+(AC37*$AC$11)+(AD37*$AD$11),2))</f>
        <v>0</v>
      </c>
      <c r="AF37" s="7"/>
      <c r="AG37" s="7"/>
      <c r="AH37" s="7"/>
      <c r="AI37" s="7"/>
      <c r="AJ37" s="7"/>
      <c r="AK37" s="46">
        <f>IF(OR($G$4="MEDIA",$G$4="BASICA - TERCER CICLO"),ROUND(((AF37*$AF$11)+(AG37*$AG$11)+(AH37*$AH$11)+(AI37*$AI$11)+(AJ37*$AJ$11)*100)/35%,2),ROUND((AF37*$AF$11)+(AG37*$AG$11)+(AH37*$AH$11)+(AI37*$AI$11)+(AJ37*$AJ$11),2))</f>
        <v>0</v>
      </c>
      <c r="AL37" s="7"/>
      <c r="AM37" s="7"/>
      <c r="AN37" s="7"/>
      <c r="AO37" s="46">
        <f>IF(OR($G$4="MEDIA",$G$4="BASICA - TERCER CICLO"),ROUND(((AL37*$AL$11)+(AM37*$AM$11)+(AN37*$AN$11)*100)/30%,2),ROUND(((AL37*$AL$11)+(AM37*$AM$11)+(AN37*$AN$11)*100)/30%,2))</f>
        <v>0</v>
      </c>
      <c r="AP37" s="7"/>
      <c r="AQ37" s="14">
        <f>IF(OR($G$4="MEDIA",$G$4="BASICA - TERCER CICLO"),ROUND((AP37*$AP$11),2),ROUND((AP37*$AP$11),0))</f>
        <v>0</v>
      </c>
      <c r="AR37" s="47">
        <f>ROUND((AE37+AK37+AO37)/3,1)</f>
        <v>0</v>
      </c>
      <c r="AS37" s="7"/>
      <c r="AT37" s="7"/>
      <c r="AU37" s="7"/>
      <c r="AV37" s="7"/>
      <c r="AW37" s="7"/>
      <c r="AX37" s="46">
        <f>IF(OR($G$4="MEDIA",$G$4="BASICA - TERCER CICLO"),ROUND(((AS37*$AS$11)+(AT37*$AT$11)+(AU37*$AU$11)+(AV37*$AV$11)+(AW37*$AW$11)*100)/35%,2),ROUND((AS37*$AS$11)+(AT37*$AT$11)+(AU37*$AU$11)+(AV37*$AV$11)+(AW37*$AW$11),2))</f>
        <v>0</v>
      </c>
      <c r="AY37" s="7"/>
      <c r="AZ37" s="7"/>
      <c r="BA37" s="7"/>
      <c r="BB37" s="7"/>
      <c r="BC37" s="7"/>
      <c r="BD37" s="46">
        <f>IF(OR($G$4="MEDIA",$G$4="BASICA - TERCER CICLO"),ROUND(((AY37*$AY$11)+(AZ37*$AZ$11)+(BA37*$BA$11)+(BB37*$BB$11)+(BC37*$BC$11)*100)/35%,2),ROUND((AY37*$AY$11)+(AZ37*$AZ$11)+(BA37*$BA$11)+(BB37*$BB$11)+(BC37*$BC$11),2))</f>
        <v>0</v>
      </c>
      <c r="BE37" s="7"/>
      <c r="BF37" s="7"/>
      <c r="BG37" s="7"/>
      <c r="BH37" s="46">
        <f>IF(OR($G$4="MEDIA",$G$4="BASICA - TERCER CICLO"),ROUND(((BE37*$BE$11)+(BF37*$BF$11)+(BG37*$BG$11)*100)/30%,2),ROUND(((BE37*$BE$11)+(BF37*$BF$11)+(BG37*$BG$11)*100)/30%,2))</f>
        <v>0</v>
      </c>
      <c r="BI37" s="7"/>
      <c r="BJ37" s="14">
        <f>IF(OR($G$4="MEDIA",$G$4="BASICA - TERCER CICLO"),ROUND((BI37*$BI$11),2),ROUND((BI37*$BI$11),0))</f>
        <v>0</v>
      </c>
      <c r="BK37" s="47">
        <f>ROUND((AX37+BD37+BH37)/3,1)</f>
        <v>0</v>
      </c>
      <c r="BL37" s="7"/>
      <c r="BM37" s="7"/>
      <c r="BN37" s="7"/>
      <c r="BO37" s="7"/>
      <c r="BP37" s="7"/>
      <c r="BQ37" s="13">
        <f>IF(OR($G$4="MEDIA",$G$4="BASICA - TERCER CICLO"),ROUND(((BL37*$BL$11)+(BM37*$BM$11)+(BN37*$BN$11)+(BO37*$BO$11)+(BP37*$BP$11)*100)/35%,2),ROUND(((BL37*$BL$11)+(BM37*$BM$11)+(BN37*$BN$11)+(BO37*$BO$11)+(BP37*$BP$11)*100)/35%,2))</f>
        <v>0</v>
      </c>
      <c r="BR37" s="7"/>
      <c r="BS37" s="7"/>
      <c r="BT37" s="7"/>
      <c r="BU37" s="7"/>
      <c r="BV37" s="7"/>
      <c r="BW37" s="13">
        <f>IF(OR($G$4="MEDIA",$G$4="BASICA - TERCER CICLO"),ROUND(((BR37*$BR$11)+(BS37*$BS$11)+(BT37*$BT$11)+(BU37*$BU$11)+(BV37*$BV$11)*100)/35%,2),ROUND(((BR37*$BR$11)+(BS37*$BS$11)+(BT37*$BT$11)+(BU37*$BU$11)+(BV37*$BP$11)*100)/35%,2))</f>
        <v>0</v>
      </c>
      <c r="BX37" s="7"/>
      <c r="BY37" s="7"/>
      <c r="BZ37" s="7"/>
      <c r="CA37" s="13">
        <f>IF(OR($G$4="MEDIA",$G$4="BASICA - TERCER CICLO"),ROUND(((BX37*$BX$11)+(BY37*$BY$11)+(BZ37*$BZ$11)*100)/30%,2),ROUND(((BX37*$BX$11)+(BY37*$BY$11)+(BZ37*$BZ$11)*100)/30%,2))</f>
        <v>0</v>
      </c>
      <c r="CB37" s="7"/>
      <c r="CC37" s="14">
        <f>IF(OR($G$4="MEDIA",$G$4="BASICA - TERCER CICLO"),ROUND((CB37*$BI$11),2),ROUND((CB37*$BI$11),0))</f>
        <v>0</v>
      </c>
      <c r="CD37" s="28">
        <f>IF(OR($G$4="MEDIA",$G$4="BASICA - TERCER CICLO"),ROUND((BQ37+BW37+CA37+CC37),1),IF($G$4="BASICA",ROUND((BQ37+BW37+CA37+CC37),0),ROUND((BQ37+BW37+CA37+CC37),1)))</f>
        <v>0</v>
      </c>
      <c r="CE37" s="28">
        <f>IF($G$4 = "MEDIA",ROUND(((Y37+AR37+BK37+CD37)/4),0),ROUND(((Y37+AR37+BK37)/3),0))</f>
        <v>0</v>
      </c>
      <c r="CF37" s="20"/>
      <c r="CG37" s="28">
        <f>IF(AND(CE37&lt;5,$G$4="BASICA"),ROUND((CE37+CF37)/2,0),IF(AND(CE37&lt;6,$G$4="MEDIA"),ROUND((CE37+CF37)/2,0),CE37))</f>
        <v>0</v>
      </c>
      <c r="CH37" s="17" t="str">
        <f>IF($G$4="MEDIA",IF(CG37&gt;=6,"Aprobado","Reprobado"),IF(CG37&gt;=5,"Aprobado","Reprobado"))</f>
        <v>Reprobado</v>
      </c>
    </row>
    <row r="38" spans="1:86" customHeight="1" ht="20.25">
      <c r="A38" s="41">
        <v>26</v>
      </c>
      <c r="B38" s="3">
        <v>10374427</v>
      </c>
      <c r="C38" s="3">
        <v>5320</v>
      </c>
      <c r="D38" s="3">
        <v>26974</v>
      </c>
      <c r="E38" s="3" t="s">
        <v>63</v>
      </c>
      <c r="F38" s="42" t="s">
        <v>39</v>
      </c>
      <c r="G38" s="32"/>
      <c r="H38" s="12"/>
      <c r="I38" s="12"/>
      <c r="J38" s="12"/>
      <c r="K38" s="12"/>
      <c r="L38" s="46">
        <f>IF(OR($G$4="MEDIA",$G$4="BASICA - TERCER CICLO"),ROUND(((G38*$G$11)+(H38*$H$11)+(I38*$I$11)+(J38*$J$11)+(K38*$K$11)*100)/35%,2),ROUND((G38*$G$11)+(H38*$H$11)+(I38*$I$11)+(J38*$J$11)+(K38*$K$11),2))</f>
        <v>0</v>
      </c>
      <c r="M38" s="12"/>
      <c r="N38" s="12"/>
      <c r="O38" s="12"/>
      <c r="P38" s="12"/>
      <c r="Q38" s="12"/>
      <c r="R38" s="46">
        <f>IF(OR($G$4="MEDIA",$G$4="BASICA - TERCER CICLO"),ROUND(((M38*$M$11)+(N38*$N$11)+(O38*$O$11)+(P38*$P$11)+(Q38*$Q$11)*100)/35%,2),ROUND((M38*$M$11)+(N38*$N$11)+(O38*$O$11)+(P38*$P$11)+(Q38*$Q$11),2))</f>
        <v>0</v>
      </c>
      <c r="S38" s="12"/>
      <c r="T38" s="12"/>
      <c r="U38" s="12"/>
      <c r="V38" s="13">
        <f>IF(OR($G$4="MEDIA",$G$4="BASICA - TERCER CICLO"),ROUND(((S38*$S$11)+(T38*$T$11)+(U38*$U$11)*100)/30%,2),ROUND(((S38*$S$11)+(T38*$T$11)+(U38*$U$11)*100)/30%,2))</f>
        <v>0</v>
      </c>
      <c r="W38" s="12"/>
      <c r="X38" s="14">
        <f>IF(OR($G$4="MEDIA",$G$4="BASICA - TERCER CICLO"),ROUND((W38*$W$11),2),ROUND((W38*$W$11),0))</f>
        <v>0</v>
      </c>
      <c r="Y38" s="47">
        <f>ROUND((L38+R38+V38)/3,1)</f>
        <v>0</v>
      </c>
      <c r="Z38" s="12"/>
      <c r="AA38" s="12"/>
      <c r="AB38" s="12"/>
      <c r="AC38" s="12"/>
      <c r="AD38" s="12"/>
      <c r="AE38" s="46">
        <f>IF(OR($G$4="MEDIA",$G$4="BASICA - TERCER CICLO"),ROUND(((Z38*$Z$11)+(AA38*$AA$11)+(AB38*$AB$11)+(AC38*$AC$11)+(AD38*$AD$11)*100)/35%,2),ROUND((Z38*$Z$11)+(AA38*$AA$11)+(AB38*$AB$11)+(AC38*$AC$11)+(AD38*$AD$11),2))</f>
        <v>0</v>
      </c>
      <c r="AF38" s="12"/>
      <c r="AG38" s="12"/>
      <c r="AH38" s="12"/>
      <c r="AI38" s="12"/>
      <c r="AJ38" s="12"/>
      <c r="AK38" s="46">
        <f>IF(OR($G$4="MEDIA",$G$4="BASICA - TERCER CICLO"),ROUND(((AF38*$AF$11)+(AG38*$AG$11)+(AH38*$AH$11)+(AI38*$AI$11)+(AJ38*$AJ$11)*100)/35%,2),ROUND((AF38*$AF$11)+(AG38*$AG$11)+(AH38*$AH$11)+(AI38*$AI$11)+(AJ38*$AJ$11),2))</f>
        <v>0</v>
      </c>
      <c r="AL38" s="12"/>
      <c r="AM38" s="12"/>
      <c r="AN38" s="12"/>
      <c r="AO38" s="46">
        <f>IF(OR($G$4="MEDIA",$G$4="BASICA - TERCER CICLO"),ROUND(((AL38*$AL$11)+(AM38*$AM$11)+(AN38*$AN$11)*100)/30%,2),ROUND(((AL38*$AL$11)+(AM38*$AM$11)+(AN38*$AN$11)*100)/30%,2))</f>
        <v>0</v>
      </c>
      <c r="AP38" s="12"/>
      <c r="AQ38" s="14">
        <f>IF(OR($G$4="MEDIA",$G$4="BASICA - TERCER CICLO"),ROUND((AP38*$AP$11),2),ROUND((AP38*$AP$11),0))</f>
        <v>0</v>
      </c>
      <c r="AR38" s="47">
        <f>ROUND((AE38+AK38+AO38)/3,1)</f>
        <v>0</v>
      </c>
      <c r="AS38" s="12"/>
      <c r="AT38" s="12"/>
      <c r="AU38" s="12"/>
      <c r="AV38" s="12"/>
      <c r="AW38" s="12"/>
      <c r="AX38" s="46">
        <f>IF(OR($G$4="MEDIA",$G$4="BASICA - TERCER CICLO"),ROUND(((AS38*$AS$11)+(AT38*$AT$11)+(AU38*$AU$11)+(AV38*$AV$11)+(AW38*$AW$11)*100)/35%,2),ROUND((AS38*$AS$11)+(AT38*$AT$11)+(AU38*$AU$11)+(AV38*$AV$11)+(AW38*$AW$11),2))</f>
        <v>0</v>
      </c>
      <c r="AY38" s="12"/>
      <c r="AZ38" s="12"/>
      <c r="BA38" s="12"/>
      <c r="BB38" s="12"/>
      <c r="BC38" s="12"/>
      <c r="BD38" s="46">
        <f>IF(OR($G$4="MEDIA",$G$4="BASICA - TERCER CICLO"),ROUND(((AY38*$AY$11)+(AZ38*$AZ$11)+(BA38*$BA$11)+(BB38*$BB$11)+(BC38*$BC$11)*100)/35%,2),ROUND((AY38*$AY$11)+(AZ38*$AZ$11)+(BA38*$BA$11)+(BB38*$BB$11)+(BC38*$BC$11),2))</f>
        <v>0</v>
      </c>
      <c r="BE38" s="12"/>
      <c r="BF38" s="12"/>
      <c r="BG38" s="12"/>
      <c r="BH38" s="46">
        <f>IF(OR($G$4="MEDIA",$G$4="BASICA - TERCER CICLO"),ROUND(((BE38*$BE$11)+(BF38*$BF$11)+(BG38*$BG$11)*100)/30%,2),ROUND(((BE38*$BE$11)+(BF38*$BF$11)+(BG38*$BG$11)*100)/30%,2))</f>
        <v>0</v>
      </c>
      <c r="BI38" s="12"/>
      <c r="BJ38" s="14">
        <f>IF(OR($G$4="MEDIA",$G$4="BASICA - TERCER CICLO"),ROUND((BI38*$BI$11),2),ROUND((BI38*$BI$11),0))</f>
        <v>0</v>
      </c>
      <c r="BK38" s="47">
        <f>ROUND((AX38+BD38+BH38)/3,1)</f>
        <v>0</v>
      </c>
      <c r="BL38" s="12"/>
      <c r="BM38" s="12"/>
      <c r="BN38" s="12"/>
      <c r="BO38" s="12"/>
      <c r="BP38" s="12"/>
      <c r="BQ38" s="13">
        <f>IF(OR($G$4="MEDIA",$G$4="BASICA - TERCER CICLO"),ROUND(((BL38*$BL$11)+(BM38*$BM$11)+(BN38*$BN$11)+(BO38*$BO$11)+(BP38*$BP$11)*100)/35%,2),ROUND(((BL38*$BL$11)+(BM38*$BM$11)+(BN38*$BN$11)+(BO38*$BO$11)+(BP38*$BP$11)*100)/35%,2))</f>
        <v>0</v>
      </c>
      <c r="BR38" s="12"/>
      <c r="BS38" s="12"/>
      <c r="BT38" s="12"/>
      <c r="BU38" s="12"/>
      <c r="BV38" s="12"/>
      <c r="BW38" s="13">
        <f>IF(OR($G$4="MEDIA",$G$4="BASICA - TERCER CICLO"),ROUND(((BR38*$BR$11)+(BS38*$BS$11)+(BT38*$BT$11)+(BU38*$BU$11)+(BV38*$BV$11)*100)/35%,2),ROUND(((BR38*$BR$11)+(BS38*$BS$11)+(BT38*$BT$11)+(BU38*$BU$11)+(BV38*$BP$11)*100)/35%,2))</f>
        <v>0</v>
      </c>
      <c r="BX38" s="12"/>
      <c r="BY38" s="12"/>
      <c r="BZ38" s="12"/>
      <c r="CA38" s="13">
        <f>IF(OR($G$4="MEDIA",$G$4="BASICA - TERCER CICLO"),ROUND(((BX38*$BX$11)+(BY38*$BY$11)+(BZ38*$BZ$11)*100)/30%,2),ROUND(((BX38*$BX$11)+(BY38*$BY$11)+(BZ38*$BZ$11)*100)/30%,2))</f>
        <v>0</v>
      </c>
      <c r="CB38" s="12"/>
      <c r="CC38" s="14">
        <f>IF(OR($G$4="MEDIA",$G$4="BASICA - TERCER CICLO"),ROUND((CB38*$BI$11),2),ROUND((CB38*$BI$11),0))</f>
        <v>0</v>
      </c>
      <c r="CD38" s="28">
        <f>IF(OR($G$4="MEDIA",$G$4="BASICA - TERCER CICLO"),ROUND((BQ38+BW38+CA38+CC38),1),IF($G$4="BASICA",ROUND((BQ38+BW38+CA38+CC38),0),ROUND((BQ38+BW38+CA38+CC38),1)))</f>
        <v>0</v>
      </c>
      <c r="CE38" s="28">
        <f>IF($G$4 = "MEDIA",ROUND(((Y38+AR38+BK38+CD38)/4),0),ROUND(((Y38+AR38+BK38)/3),0))</f>
        <v>0</v>
      </c>
      <c r="CF38" s="21"/>
      <c r="CG38" s="28">
        <f>IF(AND(CE38&lt;5,$G$4="BASICA"),ROUND((CE38+CF38)/2,0),IF(AND(CE38&lt;6,$G$4="MEDIA"),ROUND((CE38+CF38)/2,0),CE38))</f>
        <v>0</v>
      </c>
      <c r="CH38" s="16" t="str">
        <f>IF($G$4="MEDIA",IF(CG38&gt;=6,"Aprobado","Reprobado"),IF(CG38&gt;=5,"Aprobado","Reprobado"))</f>
        <v>Reprobado</v>
      </c>
    </row>
    <row r="39" spans="1:86" customHeight="1" ht="20.25">
      <c r="A39" s="39">
        <v>27</v>
      </c>
      <c r="B39" s="2">
        <v>10635365</v>
      </c>
      <c r="C39" s="2">
        <v>4887</v>
      </c>
      <c r="D39" s="2">
        <v>26975</v>
      </c>
      <c r="E39" s="2" t="s">
        <v>64</v>
      </c>
      <c r="F39" s="40" t="s">
        <v>37</v>
      </c>
      <c r="G39" s="31"/>
      <c r="H39" s="7"/>
      <c r="I39" s="7"/>
      <c r="J39" s="7"/>
      <c r="K39" s="7"/>
      <c r="L39" s="46">
        <f>IF(OR($G$4="MEDIA",$G$4="BASICA - TERCER CICLO"),ROUND(((G39*$G$11)+(H39*$H$11)+(I39*$I$11)+(J39*$J$11)+(K39*$K$11)*100)/35%,2),ROUND((G39*$G$11)+(H39*$H$11)+(I39*$I$11)+(J39*$J$11)+(K39*$K$11),2))</f>
        <v>0</v>
      </c>
      <c r="M39" s="7"/>
      <c r="N39" s="7"/>
      <c r="O39" s="7"/>
      <c r="P39" s="7"/>
      <c r="Q39" s="7"/>
      <c r="R39" s="46">
        <f>IF(OR($G$4="MEDIA",$G$4="BASICA - TERCER CICLO"),ROUND(((M39*$M$11)+(N39*$N$11)+(O39*$O$11)+(P39*$P$11)+(Q39*$Q$11)*100)/35%,2),ROUND((M39*$M$11)+(N39*$N$11)+(O39*$O$11)+(P39*$P$11)+(Q39*$Q$11),2))</f>
        <v>0</v>
      </c>
      <c r="S39" s="7"/>
      <c r="T39" s="7"/>
      <c r="U39" s="7"/>
      <c r="V39" s="13">
        <f>IF(OR($G$4="MEDIA",$G$4="BASICA - TERCER CICLO"),ROUND(((S39*$S$11)+(T39*$T$11)+(U39*$U$11)*100)/30%,2),ROUND(((S39*$S$11)+(T39*$T$11)+(U39*$U$11)*100)/30%,2))</f>
        <v>0</v>
      </c>
      <c r="W39" s="7"/>
      <c r="X39" s="14">
        <f>IF(OR($G$4="MEDIA",$G$4="BASICA - TERCER CICLO"),ROUND((W39*$W$11),2),ROUND((W39*$W$11),0))</f>
        <v>0</v>
      </c>
      <c r="Y39" s="47">
        <f>ROUND((L39+R39+V39)/3,1)</f>
        <v>0</v>
      </c>
      <c r="Z39" s="7"/>
      <c r="AA39" s="7"/>
      <c r="AB39" s="7"/>
      <c r="AC39" s="7"/>
      <c r="AD39" s="7"/>
      <c r="AE39" s="46">
        <f>IF(OR($G$4="MEDIA",$G$4="BASICA - TERCER CICLO"),ROUND(((Z39*$Z$11)+(AA39*$AA$11)+(AB39*$AB$11)+(AC39*$AC$11)+(AD39*$AD$11)*100)/35%,2),ROUND((Z39*$Z$11)+(AA39*$AA$11)+(AB39*$AB$11)+(AC39*$AC$11)+(AD39*$AD$11),2))</f>
        <v>0</v>
      </c>
      <c r="AF39" s="7"/>
      <c r="AG39" s="7"/>
      <c r="AH39" s="7"/>
      <c r="AI39" s="7"/>
      <c r="AJ39" s="7"/>
      <c r="AK39" s="46">
        <f>IF(OR($G$4="MEDIA",$G$4="BASICA - TERCER CICLO"),ROUND(((AF39*$AF$11)+(AG39*$AG$11)+(AH39*$AH$11)+(AI39*$AI$11)+(AJ39*$AJ$11)*100)/35%,2),ROUND((AF39*$AF$11)+(AG39*$AG$11)+(AH39*$AH$11)+(AI39*$AI$11)+(AJ39*$AJ$11),2))</f>
        <v>0</v>
      </c>
      <c r="AL39" s="7"/>
      <c r="AM39" s="7"/>
      <c r="AN39" s="7"/>
      <c r="AO39" s="46">
        <f>IF(OR($G$4="MEDIA",$G$4="BASICA - TERCER CICLO"),ROUND(((AL39*$AL$11)+(AM39*$AM$11)+(AN39*$AN$11)*100)/30%,2),ROUND(((AL39*$AL$11)+(AM39*$AM$11)+(AN39*$AN$11)*100)/30%,2))</f>
        <v>0</v>
      </c>
      <c r="AP39" s="7"/>
      <c r="AQ39" s="14">
        <f>IF(OR($G$4="MEDIA",$G$4="BASICA - TERCER CICLO"),ROUND((AP39*$AP$11),2),ROUND((AP39*$AP$11),0))</f>
        <v>0</v>
      </c>
      <c r="AR39" s="47">
        <f>ROUND((AE39+AK39+AO39)/3,1)</f>
        <v>0</v>
      </c>
      <c r="AS39" s="7"/>
      <c r="AT39" s="7"/>
      <c r="AU39" s="7"/>
      <c r="AV39" s="7"/>
      <c r="AW39" s="7"/>
      <c r="AX39" s="46">
        <f>IF(OR($G$4="MEDIA",$G$4="BASICA - TERCER CICLO"),ROUND(((AS39*$AS$11)+(AT39*$AT$11)+(AU39*$AU$11)+(AV39*$AV$11)+(AW39*$AW$11)*100)/35%,2),ROUND((AS39*$AS$11)+(AT39*$AT$11)+(AU39*$AU$11)+(AV39*$AV$11)+(AW39*$AW$11),2))</f>
        <v>0</v>
      </c>
      <c r="AY39" s="7"/>
      <c r="AZ39" s="7"/>
      <c r="BA39" s="7"/>
      <c r="BB39" s="7"/>
      <c r="BC39" s="7"/>
      <c r="BD39" s="46">
        <f>IF(OR($G$4="MEDIA",$G$4="BASICA - TERCER CICLO"),ROUND(((AY39*$AY$11)+(AZ39*$AZ$11)+(BA39*$BA$11)+(BB39*$BB$11)+(BC39*$BC$11)*100)/35%,2),ROUND((AY39*$AY$11)+(AZ39*$AZ$11)+(BA39*$BA$11)+(BB39*$BB$11)+(BC39*$BC$11),2))</f>
        <v>0</v>
      </c>
      <c r="BE39" s="7"/>
      <c r="BF39" s="7"/>
      <c r="BG39" s="7"/>
      <c r="BH39" s="46">
        <f>IF(OR($G$4="MEDIA",$G$4="BASICA - TERCER CICLO"),ROUND(((BE39*$BE$11)+(BF39*$BF$11)+(BG39*$BG$11)*100)/30%,2),ROUND(((BE39*$BE$11)+(BF39*$BF$11)+(BG39*$BG$11)*100)/30%,2))</f>
        <v>0</v>
      </c>
      <c r="BI39" s="7"/>
      <c r="BJ39" s="14">
        <f>IF(OR($G$4="MEDIA",$G$4="BASICA - TERCER CICLO"),ROUND((BI39*$BI$11),2),ROUND((BI39*$BI$11),0))</f>
        <v>0</v>
      </c>
      <c r="BK39" s="47">
        <f>ROUND((AX39+BD39+BH39)/3,1)</f>
        <v>0</v>
      </c>
      <c r="BL39" s="7"/>
      <c r="BM39" s="7"/>
      <c r="BN39" s="7"/>
      <c r="BO39" s="7"/>
      <c r="BP39" s="7"/>
      <c r="BQ39" s="13">
        <f>IF(OR($G$4="MEDIA",$G$4="BASICA - TERCER CICLO"),ROUND(((BL39*$BL$11)+(BM39*$BM$11)+(BN39*$BN$11)+(BO39*$BO$11)+(BP39*$BP$11)*100)/35%,2),ROUND(((BL39*$BL$11)+(BM39*$BM$11)+(BN39*$BN$11)+(BO39*$BO$11)+(BP39*$BP$11)*100)/35%,2))</f>
        <v>0</v>
      </c>
      <c r="BR39" s="7"/>
      <c r="BS39" s="7"/>
      <c r="BT39" s="7"/>
      <c r="BU39" s="7"/>
      <c r="BV39" s="7"/>
      <c r="BW39" s="13">
        <f>IF(OR($G$4="MEDIA",$G$4="BASICA - TERCER CICLO"),ROUND(((BR39*$BR$11)+(BS39*$BS$11)+(BT39*$BT$11)+(BU39*$BU$11)+(BV39*$BV$11)*100)/35%,2),ROUND(((BR39*$BR$11)+(BS39*$BS$11)+(BT39*$BT$11)+(BU39*$BU$11)+(BV39*$BP$11)*100)/35%,2))</f>
        <v>0</v>
      </c>
      <c r="BX39" s="7"/>
      <c r="BY39" s="7"/>
      <c r="BZ39" s="7"/>
      <c r="CA39" s="13">
        <f>IF(OR($G$4="MEDIA",$G$4="BASICA - TERCER CICLO"),ROUND(((BX39*$BX$11)+(BY39*$BY$11)+(BZ39*$BZ$11)*100)/30%,2),ROUND(((BX39*$BX$11)+(BY39*$BY$11)+(BZ39*$BZ$11)*100)/30%,2))</f>
        <v>0</v>
      </c>
      <c r="CB39" s="7"/>
      <c r="CC39" s="14">
        <f>IF(OR($G$4="MEDIA",$G$4="BASICA - TERCER CICLO"),ROUND((CB39*$BI$11),2),ROUND((CB39*$BI$11),0))</f>
        <v>0</v>
      </c>
      <c r="CD39" s="28">
        <f>IF(OR($G$4="MEDIA",$G$4="BASICA - TERCER CICLO"),ROUND((BQ39+BW39+CA39+CC39),1),IF($G$4="BASICA",ROUND((BQ39+BW39+CA39+CC39),0),ROUND((BQ39+BW39+CA39+CC39),1)))</f>
        <v>0</v>
      </c>
      <c r="CE39" s="28">
        <f>IF($G$4 = "MEDIA",ROUND(((Y39+AR39+BK39+CD39)/4),0),ROUND(((Y39+AR39+BK39)/3),0))</f>
        <v>0</v>
      </c>
      <c r="CF39" s="20"/>
      <c r="CG39" s="28">
        <f>IF(AND(CE39&lt;5,$G$4="BASICA"),ROUND((CE39+CF39)/2,0),IF(AND(CE39&lt;6,$G$4="MEDIA"),ROUND((CE39+CF39)/2,0),CE39))</f>
        <v>0</v>
      </c>
      <c r="CH39" s="17" t="str">
        <f>IF($G$4="MEDIA",IF(CG39&gt;=6,"Aprobado","Reprobado"),IF(CG39&gt;=5,"Aprobado","Reprobado"))</f>
        <v>Reprobado</v>
      </c>
    </row>
    <row r="40" spans="1:86" customHeight="1" ht="20.25">
      <c r="A40" s="41">
        <v>28</v>
      </c>
      <c r="B40" s="3">
        <v>10493318</v>
      </c>
      <c r="C40" s="3">
        <v>5095</v>
      </c>
      <c r="D40" s="3">
        <v>26976</v>
      </c>
      <c r="E40" s="3" t="s">
        <v>65</v>
      </c>
      <c r="F40" s="42" t="s">
        <v>39</v>
      </c>
      <c r="G40" s="32"/>
      <c r="H40" s="12"/>
      <c r="I40" s="12"/>
      <c r="J40" s="12"/>
      <c r="K40" s="12"/>
      <c r="L40" s="46">
        <f>IF(OR($G$4="MEDIA",$G$4="BASICA - TERCER CICLO"),ROUND(((G40*$G$11)+(H40*$H$11)+(I40*$I$11)+(J40*$J$11)+(K40*$K$11)*100)/35%,2),ROUND((G40*$G$11)+(H40*$H$11)+(I40*$I$11)+(J40*$J$11)+(K40*$K$11),2))</f>
        <v>0</v>
      </c>
      <c r="M40" s="12"/>
      <c r="N40" s="12"/>
      <c r="O40" s="12"/>
      <c r="P40" s="12"/>
      <c r="Q40" s="12"/>
      <c r="R40" s="46">
        <f>IF(OR($G$4="MEDIA",$G$4="BASICA - TERCER CICLO"),ROUND(((M40*$M$11)+(N40*$N$11)+(O40*$O$11)+(P40*$P$11)+(Q40*$Q$11)*100)/35%,2),ROUND((M40*$M$11)+(N40*$N$11)+(O40*$O$11)+(P40*$P$11)+(Q40*$Q$11),2))</f>
        <v>0</v>
      </c>
      <c r="S40" s="12"/>
      <c r="T40" s="12"/>
      <c r="U40" s="12"/>
      <c r="V40" s="13">
        <f>IF(OR($G$4="MEDIA",$G$4="BASICA - TERCER CICLO"),ROUND(((S40*$S$11)+(T40*$T$11)+(U40*$U$11)*100)/30%,2),ROUND(((S40*$S$11)+(T40*$T$11)+(U40*$U$11)*100)/30%,2))</f>
        <v>0</v>
      </c>
      <c r="W40" s="12"/>
      <c r="X40" s="14">
        <f>IF(OR($G$4="MEDIA",$G$4="BASICA - TERCER CICLO"),ROUND((W40*$W$11),2),ROUND((W40*$W$11),0))</f>
        <v>0</v>
      </c>
      <c r="Y40" s="47">
        <f>ROUND((L40+R40+V40)/3,1)</f>
        <v>0</v>
      </c>
      <c r="Z40" s="12"/>
      <c r="AA40" s="12"/>
      <c r="AB40" s="12"/>
      <c r="AC40" s="12"/>
      <c r="AD40" s="12"/>
      <c r="AE40" s="46">
        <f>IF(OR($G$4="MEDIA",$G$4="BASICA - TERCER CICLO"),ROUND(((Z40*$Z$11)+(AA40*$AA$11)+(AB40*$AB$11)+(AC40*$AC$11)+(AD40*$AD$11)*100)/35%,2),ROUND((Z40*$Z$11)+(AA40*$AA$11)+(AB40*$AB$11)+(AC40*$AC$11)+(AD40*$AD$11),2))</f>
        <v>0</v>
      </c>
      <c r="AF40" s="12"/>
      <c r="AG40" s="12"/>
      <c r="AH40" s="12"/>
      <c r="AI40" s="12"/>
      <c r="AJ40" s="12"/>
      <c r="AK40" s="46">
        <f>IF(OR($G$4="MEDIA",$G$4="BASICA - TERCER CICLO"),ROUND(((AF40*$AF$11)+(AG40*$AG$11)+(AH40*$AH$11)+(AI40*$AI$11)+(AJ40*$AJ$11)*100)/35%,2),ROUND((AF40*$AF$11)+(AG40*$AG$11)+(AH40*$AH$11)+(AI40*$AI$11)+(AJ40*$AJ$11),2))</f>
        <v>0</v>
      </c>
      <c r="AL40" s="12"/>
      <c r="AM40" s="12"/>
      <c r="AN40" s="12"/>
      <c r="AO40" s="46">
        <f>IF(OR($G$4="MEDIA",$G$4="BASICA - TERCER CICLO"),ROUND(((AL40*$AL$11)+(AM40*$AM$11)+(AN40*$AN$11)*100)/30%,2),ROUND(((AL40*$AL$11)+(AM40*$AM$11)+(AN40*$AN$11)*100)/30%,2))</f>
        <v>0</v>
      </c>
      <c r="AP40" s="12"/>
      <c r="AQ40" s="14">
        <f>IF(OR($G$4="MEDIA",$G$4="BASICA - TERCER CICLO"),ROUND((AP40*$AP$11),2),ROUND((AP40*$AP$11),0))</f>
        <v>0</v>
      </c>
      <c r="AR40" s="47">
        <f>ROUND((AE40+AK40+AO40)/3,1)</f>
        <v>0</v>
      </c>
      <c r="AS40" s="12"/>
      <c r="AT40" s="12"/>
      <c r="AU40" s="12"/>
      <c r="AV40" s="12"/>
      <c r="AW40" s="12"/>
      <c r="AX40" s="46">
        <f>IF(OR($G$4="MEDIA",$G$4="BASICA - TERCER CICLO"),ROUND(((AS40*$AS$11)+(AT40*$AT$11)+(AU40*$AU$11)+(AV40*$AV$11)+(AW40*$AW$11)*100)/35%,2),ROUND((AS40*$AS$11)+(AT40*$AT$11)+(AU40*$AU$11)+(AV40*$AV$11)+(AW40*$AW$11),2))</f>
        <v>0</v>
      </c>
      <c r="AY40" s="12"/>
      <c r="AZ40" s="12"/>
      <c r="BA40" s="12"/>
      <c r="BB40" s="12"/>
      <c r="BC40" s="12"/>
      <c r="BD40" s="46">
        <f>IF(OR($G$4="MEDIA",$G$4="BASICA - TERCER CICLO"),ROUND(((AY40*$AY$11)+(AZ40*$AZ$11)+(BA40*$BA$11)+(BB40*$BB$11)+(BC40*$BC$11)*100)/35%,2),ROUND((AY40*$AY$11)+(AZ40*$AZ$11)+(BA40*$BA$11)+(BB40*$BB$11)+(BC40*$BC$11),2))</f>
        <v>0</v>
      </c>
      <c r="BE40" s="12"/>
      <c r="BF40" s="12"/>
      <c r="BG40" s="12"/>
      <c r="BH40" s="46">
        <f>IF(OR($G$4="MEDIA",$G$4="BASICA - TERCER CICLO"),ROUND(((BE40*$BE$11)+(BF40*$BF$11)+(BG40*$BG$11)*100)/30%,2),ROUND(((BE40*$BE$11)+(BF40*$BF$11)+(BG40*$BG$11)*100)/30%,2))</f>
        <v>0</v>
      </c>
      <c r="BI40" s="12"/>
      <c r="BJ40" s="14">
        <f>IF(OR($G$4="MEDIA",$G$4="BASICA - TERCER CICLO"),ROUND((BI40*$BI$11),2),ROUND((BI40*$BI$11),0))</f>
        <v>0</v>
      </c>
      <c r="BK40" s="47">
        <f>ROUND((AX40+BD40+BH40)/3,1)</f>
        <v>0</v>
      </c>
      <c r="BL40" s="12"/>
      <c r="BM40" s="12"/>
      <c r="BN40" s="12"/>
      <c r="BO40" s="12"/>
      <c r="BP40" s="12"/>
      <c r="BQ40" s="13">
        <f>IF(OR($G$4="MEDIA",$G$4="BASICA - TERCER CICLO"),ROUND(((BL40*$BL$11)+(BM40*$BM$11)+(BN40*$BN$11)+(BO40*$BO$11)+(BP40*$BP$11)*100)/35%,2),ROUND(((BL40*$BL$11)+(BM40*$BM$11)+(BN40*$BN$11)+(BO40*$BO$11)+(BP40*$BP$11)*100)/35%,2))</f>
        <v>0</v>
      </c>
      <c r="BR40" s="12"/>
      <c r="BS40" s="12"/>
      <c r="BT40" s="12"/>
      <c r="BU40" s="12"/>
      <c r="BV40" s="12"/>
      <c r="BW40" s="13">
        <f>IF(OR($G$4="MEDIA",$G$4="BASICA - TERCER CICLO"),ROUND(((BR40*$BR$11)+(BS40*$BS$11)+(BT40*$BT$11)+(BU40*$BU$11)+(BV40*$BV$11)*100)/35%,2),ROUND(((BR40*$BR$11)+(BS40*$BS$11)+(BT40*$BT$11)+(BU40*$BU$11)+(BV40*$BP$11)*100)/35%,2))</f>
        <v>0</v>
      </c>
      <c r="BX40" s="12"/>
      <c r="BY40" s="12"/>
      <c r="BZ40" s="12"/>
      <c r="CA40" s="13">
        <f>IF(OR($G$4="MEDIA",$G$4="BASICA - TERCER CICLO"),ROUND(((BX40*$BX$11)+(BY40*$BY$11)+(BZ40*$BZ$11)*100)/30%,2),ROUND(((BX40*$BX$11)+(BY40*$BY$11)+(BZ40*$BZ$11)*100)/30%,2))</f>
        <v>0</v>
      </c>
      <c r="CB40" s="12"/>
      <c r="CC40" s="14">
        <f>IF(OR($G$4="MEDIA",$G$4="BASICA - TERCER CICLO"),ROUND((CB40*$BI$11),2),ROUND((CB40*$BI$11),0))</f>
        <v>0</v>
      </c>
      <c r="CD40" s="28">
        <f>IF(OR($G$4="MEDIA",$G$4="BASICA - TERCER CICLO"),ROUND((BQ40+BW40+CA40+CC40),1),IF($G$4="BASICA",ROUND((BQ40+BW40+CA40+CC40),0),ROUND((BQ40+BW40+CA40+CC40),1)))</f>
        <v>0</v>
      </c>
      <c r="CE40" s="28">
        <f>IF($G$4 = "MEDIA",ROUND(((Y40+AR40+BK40+CD40)/4),0),ROUND(((Y40+AR40+BK40)/3),0))</f>
        <v>0</v>
      </c>
      <c r="CF40" s="21"/>
      <c r="CG40" s="28">
        <f>IF(AND(CE40&lt;5,$G$4="BASICA"),ROUND((CE40+CF40)/2,0),IF(AND(CE40&lt;6,$G$4="MEDIA"),ROUND((CE40+CF40)/2,0),CE40))</f>
        <v>0</v>
      </c>
      <c r="CH40" s="16" t="str">
        <f>IF($G$4="MEDIA",IF(CG40&gt;=6,"Aprobado","Reprobado"),IF(CG40&gt;=5,"Aprobado","Reprobado"))</f>
        <v>Reprobado</v>
      </c>
    </row>
    <row r="41" spans="1:86" customHeight="1" ht="20.25">
      <c r="A41" s="39">
        <v>29</v>
      </c>
      <c r="B41" s="2">
        <v>10492452</v>
      </c>
      <c r="C41" s="2">
        <v>5489</v>
      </c>
      <c r="D41" s="2">
        <v>26977</v>
      </c>
      <c r="E41" s="2" t="s">
        <v>66</v>
      </c>
      <c r="F41" s="40" t="s">
        <v>37</v>
      </c>
      <c r="G41" s="31"/>
      <c r="H41" s="7"/>
      <c r="I41" s="7"/>
      <c r="J41" s="7"/>
      <c r="K41" s="7"/>
      <c r="L41" s="46">
        <f>IF(OR($G$4="MEDIA",$G$4="BASICA - TERCER CICLO"),ROUND(((G41*$G$11)+(H41*$H$11)+(I41*$I$11)+(J41*$J$11)+(K41*$K$11)*100)/35%,2),ROUND((G41*$G$11)+(H41*$H$11)+(I41*$I$11)+(J41*$J$11)+(K41*$K$11),2))</f>
        <v>0</v>
      </c>
      <c r="M41" s="7"/>
      <c r="N41" s="7"/>
      <c r="O41" s="7"/>
      <c r="P41" s="7"/>
      <c r="Q41" s="7"/>
      <c r="R41" s="46">
        <f>IF(OR($G$4="MEDIA",$G$4="BASICA - TERCER CICLO"),ROUND(((M41*$M$11)+(N41*$N$11)+(O41*$O$11)+(P41*$P$11)+(Q41*$Q$11)*100)/35%,2),ROUND((M41*$M$11)+(N41*$N$11)+(O41*$O$11)+(P41*$P$11)+(Q41*$Q$11),2))</f>
        <v>0</v>
      </c>
      <c r="S41" s="7"/>
      <c r="T41" s="7"/>
      <c r="U41" s="7"/>
      <c r="V41" s="13">
        <f>IF(OR($G$4="MEDIA",$G$4="BASICA - TERCER CICLO"),ROUND(((S41*$S$11)+(T41*$T$11)+(U41*$U$11)*100)/30%,2),ROUND(((S41*$S$11)+(T41*$T$11)+(U41*$U$11)*100)/30%,2))</f>
        <v>0</v>
      </c>
      <c r="W41" s="7"/>
      <c r="X41" s="14">
        <f>IF(OR($G$4="MEDIA",$G$4="BASICA - TERCER CICLO"),ROUND((W41*$W$11),2),ROUND((W41*$W$11),0))</f>
        <v>0</v>
      </c>
      <c r="Y41" s="47">
        <f>ROUND((L41+R41+V41)/3,1)</f>
        <v>0</v>
      </c>
      <c r="Z41" s="7"/>
      <c r="AA41" s="7"/>
      <c r="AB41" s="7"/>
      <c r="AC41" s="7"/>
      <c r="AD41" s="7"/>
      <c r="AE41" s="46">
        <f>IF(OR($G$4="MEDIA",$G$4="BASICA - TERCER CICLO"),ROUND(((Z41*$Z$11)+(AA41*$AA$11)+(AB41*$AB$11)+(AC41*$AC$11)+(AD41*$AD$11)*100)/35%,2),ROUND((Z41*$Z$11)+(AA41*$AA$11)+(AB41*$AB$11)+(AC41*$AC$11)+(AD41*$AD$11),2))</f>
        <v>0</v>
      </c>
      <c r="AF41" s="7"/>
      <c r="AG41" s="7"/>
      <c r="AH41" s="7"/>
      <c r="AI41" s="7"/>
      <c r="AJ41" s="7"/>
      <c r="AK41" s="46">
        <f>IF(OR($G$4="MEDIA",$G$4="BASICA - TERCER CICLO"),ROUND(((AF41*$AF$11)+(AG41*$AG$11)+(AH41*$AH$11)+(AI41*$AI$11)+(AJ41*$AJ$11)*100)/35%,2),ROUND((AF41*$AF$11)+(AG41*$AG$11)+(AH41*$AH$11)+(AI41*$AI$11)+(AJ41*$AJ$11),2))</f>
        <v>0</v>
      </c>
      <c r="AL41" s="7"/>
      <c r="AM41" s="7"/>
      <c r="AN41" s="7"/>
      <c r="AO41" s="46">
        <f>IF(OR($G$4="MEDIA",$G$4="BASICA - TERCER CICLO"),ROUND(((AL41*$AL$11)+(AM41*$AM$11)+(AN41*$AN$11)*100)/30%,2),ROUND(((AL41*$AL$11)+(AM41*$AM$11)+(AN41*$AN$11)*100)/30%,2))</f>
        <v>0</v>
      </c>
      <c r="AP41" s="7"/>
      <c r="AQ41" s="14">
        <f>IF(OR($G$4="MEDIA",$G$4="BASICA - TERCER CICLO"),ROUND((AP41*$AP$11),2),ROUND((AP41*$AP$11),0))</f>
        <v>0</v>
      </c>
      <c r="AR41" s="47">
        <f>ROUND((AE41+AK41+AO41)/3,1)</f>
        <v>0</v>
      </c>
      <c r="AS41" s="7"/>
      <c r="AT41" s="7"/>
      <c r="AU41" s="7"/>
      <c r="AV41" s="7"/>
      <c r="AW41" s="7"/>
      <c r="AX41" s="46">
        <f>IF(OR($G$4="MEDIA",$G$4="BASICA - TERCER CICLO"),ROUND(((AS41*$AS$11)+(AT41*$AT$11)+(AU41*$AU$11)+(AV41*$AV$11)+(AW41*$AW$11)*100)/35%,2),ROUND((AS41*$AS$11)+(AT41*$AT$11)+(AU41*$AU$11)+(AV41*$AV$11)+(AW41*$AW$11),2))</f>
        <v>0</v>
      </c>
      <c r="AY41" s="7"/>
      <c r="AZ41" s="7"/>
      <c r="BA41" s="7"/>
      <c r="BB41" s="7"/>
      <c r="BC41" s="7"/>
      <c r="BD41" s="46">
        <f>IF(OR($G$4="MEDIA",$G$4="BASICA - TERCER CICLO"),ROUND(((AY41*$AY$11)+(AZ41*$AZ$11)+(BA41*$BA$11)+(BB41*$BB$11)+(BC41*$BC$11)*100)/35%,2),ROUND((AY41*$AY$11)+(AZ41*$AZ$11)+(BA41*$BA$11)+(BB41*$BB$11)+(BC41*$BC$11),2))</f>
        <v>0</v>
      </c>
      <c r="BE41" s="7"/>
      <c r="BF41" s="7"/>
      <c r="BG41" s="7"/>
      <c r="BH41" s="46">
        <f>IF(OR($G$4="MEDIA",$G$4="BASICA - TERCER CICLO"),ROUND(((BE41*$BE$11)+(BF41*$BF$11)+(BG41*$BG$11)*100)/30%,2),ROUND(((BE41*$BE$11)+(BF41*$BF$11)+(BG41*$BG$11)*100)/30%,2))</f>
        <v>0</v>
      </c>
      <c r="BI41" s="7"/>
      <c r="BJ41" s="14">
        <f>IF(OR($G$4="MEDIA",$G$4="BASICA - TERCER CICLO"),ROUND((BI41*$BI$11),2),ROUND((BI41*$BI$11),0))</f>
        <v>0</v>
      </c>
      <c r="BK41" s="47">
        <f>ROUND((AX41+BD41+BH41)/3,1)</f>
        <v>0</v>
      </c>
      <c r="BL41" s="7"/>
      <c r="BM41" s="7"/>
      <c r="BN41" s="7"/>
      <c r="BO41" s="7"/>
      <c r="BP41" s="7"/>
      <c r="BQ41" s="13">
        <f>IF(OR($G$4="MEDIA",$G$4="BASICA - TERCER CICLO"),ROUND(((BL41*$BL$11)+(BM41*$BM$11)+(BN41*$BN$11)+(BO41*$BO$11)+(BP41*$BP$11)*100)/35%,2),ROUND(((BL41*$BL$11)+(BM41*$BM$11)+(BN41*$BN$11)+(BO41*$BO$11)+(BP41*$BP$11)*100)/35%,2))</f>
        <v>0</v>
      </c>
      <c r="BR41" s="7"/>
      <c r="BS41" s="7"/>
      <c r="BT41" s="7"/>
      <c r="BU41" s="7"/>
      <c r="BV41" s="7"/>
      <c r="BW41" s="13">
        <f>IF(OR($G$4="MEDIA",$G$4="BASICA - TERCER CICLO"),ROUND(((BR41*$BR$11)+(BS41*$BS$11)+(BT41*$BT$11)+(BU41*$BU$11)+(BV41*$BV$11)*100)/35%,2),ROUND(((BR41*$BR$11)+(BS41*$BS$11)+(BT41*$BT$11)+(BU41*$BU$11)+(BV41*$BP$11)*100)/35%,2))</f>
        <v>0</v>
      </c>
      <c r="BX41" s="7"/>
      <c r="BY41" s="7"/>
      <c r="BZ41" s="7"/>
      <c r="CA41" s="13">
        <f>IF(OR($G$4="MEDIA",$G$4="BASICA - TERCER CICLO"),ROUND(((BX41*$BX$11)+(BY41*$BY$11)+(BZ41*$BZ$11)*100)/30%,2),ROUND(((BX41*$BX$11)+(BY41*$BY$11)+(BZ41*$BZ$11)*100)/30%,2))</f>
        <v>0</v>
      </c>
      <c r="CB41" s="7"/>
      <c r="CC41" s="14">
        <f>IF(OR($G$4="MEDIA",$G$4="BASICA - TERCER CICLO"),ROUND((CB41*$BI$11),2),ROUND((CB41*$BI$11),0))</f>
        <v>0</v>
      </c>
      <c r="CD41" s="28">
        <f>IF(OR($G$4="MEDIA",$G$4="BASICA - TERCER CICLO"),ROUND((BQ41+BW41+CA41+CC41),1),IF($G$4="BASICA",ROUND((BQ41+BW41+CA41+CC41),0),ROUND((BQ41+BW41+CA41+CC41),1)))</f>
        <v>0</v>
      </c>
      <c r="CE41" s="28">
        <f>IF($G$4 = "MEDIA",ROUND(((Y41+AR41+BK41+CD41)/4),0),ROUND(((Y41+AR41+BK41)/3),0))</f>
        <v>0</v>
      </c>
      <c r="CF41" s="20"/>
      <c r="CG41" s="28">
        <f>IF(AND(CE41&lt;5,$G$4="BASICA"),ROUND((CE41+CF41)/2,0),IF(AND(CE41&lt;6,$G$4="MEDIA"),ROUND((CE41+CF41)/2,0),CE41))</f>
        <v>0</v>
      </c>
      <c r="CH41" s="17" t="str">
        <f>IF($G$4="MEDIA",IF(CG41&gt;=6,"Aprobado","Reprobado"),IF(CG41&gt;=5,"Aprobado","Reprobado"))</f>
        <v>Reprobado</v>
      </c>
    </row>
    <row r="42" spans="1:86" customHeight="1" ht="20.25">
      <c r="A42" s="41">
        <v>30</v>
      </c>
      <c r="B42" s="3">
        <v>10282528</v>
      </c>
      <c r="C42" s="3">
        <v>4395</v>
      </c>
      <c r="D42" s="3">
        <v>26978</v>
      </c>
      <c r="E42" s="3" t="s">
        <v>67</v>
      </c>
      <c r="F42" s="42" t="s">
        <v>39</v>
      </c>
      <c r="G42" s="32"/>
      <c r="H42" s="12"/>
      <c r="I42" s="12"/>
      <c r="J42" s="12"/>
      <c r="K42" s="12"/>
      <c r="L42" s="46">
        <f>IF(OR($G$4="MEDIA",$G$4="BASICA - TERCER CICLO"),ROUND(((G42*$G$11)+(H42*$H$11)+(I42*$I$11)+(J42*$J$11)+(K42*$K$11)*100)/35%,2),ROUND((G42*$G$11)+(H42*$H$11)+(I42*$I$11)+(J42*$J$11)+(K42*$K$11),2))</f>
        <v>0</v>
      </c>
      <c r="M42" s="12"/>
      <c r="N42" s="12"/>
      <c r="O42" s="12"/>
      <c r="P42" s="12"/>
      <c r="Q42" s="12"/>
      <c r="R42" s="46">
        <f>IF(OR($G$4="MEDIA",$G$4="BASICA - TERCER CICLO"),ROUND(((M42*$M$11)+(N42*$N$11)+(O42*$O$11)+(P42*$P$11)+(Q42*$Q$11)*100)/35%,2),ROUND((M42*$M$11)+(N42*$N$11)+(O42*$O$11)+(P42*$P$11)+(Q42*$Q$11),2))</f>
        <v>0</v>
      </c>
      <c r="S42" s="12"/>
      <c r="T42" s="12"/>
      <c r="U42" s="12"/>
      <c r="V42" s="13">
        <f>IF(OR($G$4="MEDIA",$G$4="BASICA - TERCER CICLO"),ROUND(((S42*$S$11)+(T42*$T$11)+(U42*$U$11)*100)/30%,2),ROUND(((S42*$S$11)+(T42*$T$11)+(U42*$U$11)*100)/30%,2))</f>
        <v>0</v>
      </c>
      <c r="W42" s="12"/>
      <c r="X42" s="14">
        <f>IF(OR($G$4="MEDIA",$G$4="BASICA - TERCER CICLO"),ROUND((W42*$W$11),2),ROUND((W42*$W$11),0))</f>
        <v>0</v>
      </c>
      <c r="Y42" s="47">
        <f>ROUND((L42+R42+V42)/3,1)</f>
        <v>0</v>
      </c>
      <c r="Z42" s="12"/>
      <c r="AA42" s="12"/>
      <c r="AB42" s="12"/>
      <c r="AC42" s="12"/>
      <c r="AD42" s="12"/>
      <c r="AE42" s="46">
        <f>IF(OR($G$4="MEDIA",$G$4="BASICA - TERCER CICLO"),ROUND(((Z42*$Z$11)+(AA42*$AA$11)+(AB42*$AB$11)+(AC42*$AC$11)+(AD42*$AD$11)*100)/35%,2),ROUND((Z42*$Z$11)+(AA42*$AA$11)+(AB42*$AB$11)+(AC42*$AC$11)+(AD42*$AD$11),2))</f>
        <v>0</v>
      </c>
      <c r="AF42" s="12"/>
      <c r="AG42" s="12"/>
      <c r="AH42" s="12"/>
      <c r="AI42" s="12"/>
      <c r="AJ42" s="12"/>
      <c r="AK42" s="46">
        <f>IF(OR($G$4="MEDIA",$G$4="BASICA - TERCER CICLO"),ROUND(((AF42*$AF$11)+(AG42*$AG$11)+(AH42*$AH$11)+(AI42*$AI$11)+(AJ42*$AJ$11)*100)/35%,2),ROUND((AF42*$AF$11)+(AG42*$AG$11)+(AH42*$AH$11)+(AI42*$AI$11)+(AJ42*$AJ$11),2))</f>
        <v>0</v>
      </c>
      <c r="AL42" s="12"/>
      <c r="AM42" s="12"/>
      <c r="AN42" s="12"/>
      <c r="AO42" s="46">
        <f>IF(OR($G$4="MEDIA",$G$4="BASICA - TERCER CICLO"),ROUND(((AL42*$AL$11)+(AM42*$AM$11)+(AN42*$AN$11)*100)/30%,2),ROUND(((AL42*$AL$11)+(AM42*$AM$11)+(AN42*$AN$11)*100)/30%,2))</f>
        <v>0</v>
      </c>
      <c r="AP42" s="12"/>
      <c r="AQ42" s="14">
        <f>IF(OR($G$4="MEDIA",$G$4="BASICA - TERCER CICLO"),ROUND((AP42*$AP$11),2),ROUND((AP42*$AP$11),0))</f>
        <v>0</v>
      </c>
      <c r="AR42" s="47">
        <f>ROUND((AE42+AK42+AO42)/3,1)</f>
        <v>0</v>
      </c>
      <c r="AS42" s="12"/>
      <c r="AT42" s="12"/>
      <c r="AU42" s="12"/>
      <c r="AV42" s="12"/>
      <c r="AW42" s="12"/>
      <c r="AX42" s="46">
        <f>IF(OR($G$4="MEDIA",$G$4="BASICA - TERCER CICLO"),ROUND(((AS42*$AS$11)+(AT42*$AT$11)+(AU42*$AU$11)+(AV42*$AV$11)+(AW42*$AW$11)*100)/35%,2),ROUND((AS42*$AS$11)+(AT42*$AT$11)+(AU42*$AU$11)+(AV42*$AV$11)+(AW42*$AW$11),2))</f>
        <v>0</v>
      </c>
      <c r="AY42" s="12"/>
      <c r="AZ42" s="12"/>
      <c r="BA42" s="12"/>
      <c r="BB42" s="12"/>
      <c r="BC42" s="12"/>
      <c r="BD42" s="46">
        <f>IF(OR($G$4="MEDIA",$G$4="BASICA - TERCER CICLO"),ROUND(((AY42*$AY$11)+(AZ42*$AZ$11)+(BA42*$BA$11)+(BB42*$BB$11)+(BC42*$BC$11)*100)/35%,2),ROUND((AY42*$AY$11)+(AZ42*$AZ$11)+(BA42*$BA$11)+(BB42*$BB$11)+(BC42*$BC$11),2))</f>
        <v>0</v>
      </c>
      <c r="BE42" s="12"/>
      <c r="BF42" s="12"/>
      <c r="BG42" s="12"/>
      <c r="BH42" s="46">
        <f>IF(OR($G$4="MEDIA",$G$4="BASICA - TERCER CICLO"),ROUND(((BE42*$BE$11)+(BF42*$BF$11)+(BG42*$BG$11)*100)/30%,2),ROUND(((BE42*$BE$11)+(BF42*$BF$11)+(BG42*$BG$11)*100)/30%,2))</f>
        <v>0</v>
      </c>
      <c r="BI42" s="12"/>
      <c r="BJ42" s="14">
        <f>IF(OR($G$4="MEDIA",$G$4="BASICA - TERCER CICLO"),ROUND((BI42*$BI$11),2),ROUND((BI42*$BI$11),0))</f>
        <v>0</v>
      </c>
      <c r="BK42" s="47">
        <f>ROUND((AX42+BD42+BH42)/3,1)</f>
        <v>0</v>
      </c>
      <c r="BL42" s="12"/>
      <c r="BM42" s="12"/>
      <c r="BN42" s="12"/>
      <c r="BO42" s="12"/>
      <c r="BP42" s="12"/>
      <c r="BQ42" s="13">
        <f>IF(OR($G$4="MEDIA",$G$4="BASICA - TERCER CICLO"),ROUND(((BL42*$BL$11)+(BM42*$BM$11)+(BN42*$BN$11)+(BO42*$BO$11)+(BP42*$BP$11)*100)/35%,2),ROUND(((BL42*$BL$11)+(BM42*$BM$11)+(BN42*$BN$11)+(BO42*$BO$11)+(BP42*$BP$11)*100)/35%,2))</f>
        <v>0</v>
      </c>
      <c r="BR42" s="12"/>
      <c r="BS42" s="12"/>
      <c r="BT42" s="12"/>
      <c r="BU42" s="12"/>
      <c r="BV42" s="12"/>
      <c r="BW42" s="13">
        <f>IF(OR($G$4="MEDIA",$G$4="BASICA - TERCER CICLO"),ROUND(((BR42*$BR$11)+(BS42*$BS$11)+(BT42*$BT$11)+(BU42*$BU$11)+(BV42*$BV$11)*100)/35%,2),ROUND(((BR42*$BR$11)+(BS42*$BS$11)+(BT42*$BT$11)+(BU42*$BU$11)+(BV42*$BP$11)*100)/35%,2))</f>
        <v>0</v>
      </c>
      <c r="BX42" s="12"/>
      <c r="BY42" s="12"/>
      <c r="BZ42" s="12"/>
      <c r="CA42" s="13">
        <f>IF(OR($G$4="MEDIA",$G$4="BASICA - TERCER CICLO"),ROUND(((BX42*$BX$11)+(BY42*$BY$11)+(BZ42*$BZ$11)*100)/30%,2),ROUND(((BX42*$BX$11)+(BY42*$BY$11)+(BZ42*$BZ$11)*100)/30%,2))</f>
        <v>0</v>
      </c>
      <c r="CB42" s="12"/>
      <c r="CC42" s="14">
        <f>IF(OR($G$4="MEDIA",$G$4="BASICA - TERCER CICLO"),ROUND((CB42*$BI$11),2),ROUND((CB42*$BI$11),0))</f>
        <v>0</v>
      </c>
      <c r="CD42" s="28">
        <f>IF(OR($G$4="MEDIA",$G$4="BASICA - TERCER CICLO"),ROUND((BQ42+BW42+CA42+CC42),1),IF($G$4="BASICA",ROUND((BQ42+BW42+CA42+CC42),0),ROUND((BQ42+BW42+CA42+CC42),1)))</f>
        <v>0</v>
      </c>
      <c r="CE42" s="28">
        <f>IF($G$4 = "MEDIA",ROUND(((Y42+AR42+BK42+CD42)/4),0),ROUND(((Y42+AR42+BK42)/3),0))</f>
        <v>0</v>
      </c>
      <c r="CF42" s="21"/>
      <c r="CG42" s="28">
        <f>IF(AND(CE42&lt;5,$G$4="BASICA"),ROUND((CE42+CF42)/2,0),IF(AND(CE42&lt;6,$G$4="MEDIA"),ROUND((CE42+CF42)/2,0),CE42))</f>
        <v>0</v>
      </c>
      <c r="CH42" s="16" t="str">
        <f>IF($G$4="MEDIA",IF(CG42&gt;=6,"Aprobado","Reprobado"),IF(CG42&gt;=5,"Aprobado","Reprobado"))</f>
        <v>Reprobado</v>
      </c>
    </row>
    <row r="43" spans="1:86" customHeight="1" ht="20.25">
      <c r="A43" s="39">
        <v>31</v>
      </c>
      <c r="B43" s="2">
        <v>10293673</v>
      </c>
      <c r="C43" s="2">
        <v>4492</v>
      </c>
      <c r="D43" s="2">
        <v>26979</v>
      </c>
      <c r="E43" s="2" t="s">
        <v>68</v>
      </c>
      <c r="F43" s="40" t="s">
        <v>39</v>
      </c>
      <c r="G43" s="31"/>
      <c r="H43" s="7"/>
      <c r="I43" s="7"/>
      <c r="J43" s="7"/>
      <c r="K43" s="7"/>
      <c r="L43" s="46">
        <f>IF(OR($G$4="MEDIA",$G$4="BASICA - TERCER CICLO"),ROUND(((G43*$G$11)+(H43*$H$11)+(I43*$I$11)+(J43*$J$11)+(K43*$K$11)*100)/35%,2),ROUND((G43*$G$11)+(H43*$H$11)+(I43*$I$11)+(J43*$J$11)+(K43*$K$11),2))</f>
        <v>0</v>
      </c>
      <c r="M43" s="7"/>
      <c r="N43" s="7"/>
      <c r="O43" s="7"/>
      <c r="P43" s="7"/>
      <c r="Q43" s="7"/>
      <c r="R43" s="46">
        <f>IF(OR($G$4="MEDIA",$G$4="BASICA - TERCER CICLO"),ROUND(((M43*$M$11)+(N43*$N$11)+(O43*$O$11)+(P43*$P$11)+(Q43*$Q$11)*100)/35%,2),ROUND((M43*$M$11)+(N43*$N$11)+(O43*$O$11)+(P43*$P$11)+(Q43*$Q$11),2))</f>
        <v>0</v>
      </c>
      <c r="S43" s="7"/>
      <c r="T43" s="7"/>
      <c r="U43" s="7"/>
      <c r="V43" s="13">
        <f>IF(OR($G$4="MEDIA",$G$4="BASICA - TERCER CICLO"),ROUND(((S43*$S$11)+(T43*$T$11)+(U43*$U$11)*100)/30%,2),ROUND(((S43*$S$11)+(T43*$T$11)+(U43*$U$11)*100)/30%,2))</f>
        <v>0</v>
      </c>
      <c r="W43" s="7"/>
      <c r="X43" s="14">
        <f>IF(OR($G$4="MEDIA",$G$4="BASICA - TERCER CICLO"),ROUND((W43*$W$11),2),ROUND((W43*$W$11),0))</f>
        <v>0</v>
      </c>
      <c r="Y43" s="47">
        <f>ROUND((L43+R43+V43)/3,1)</f>
        <v>0</v>
      </c>
      <c r="Z43" s="7"/>
      <c r="AA43" s="7"/>
      <c r="AB43" s="7"/>
      <c r="AC43" s="7"/>
      <c r="AD43" s="7"/>
      <c r="AE43" s="46">
        <f>IF(OR($G$4="MEDIA",$G$4="BASICA - TERCER CICLO"),ROUND(((Z43*$Z$11)+(AA43*$AA$11)+(AB43*$AB$11)+(AC43*$AC$11)+(AD43*$AD$11)*100)/35%,2),ROUND((Z43*$Z$11)+(AA43*$AA$11)+(AB43*$AB$11)+(AC43*$AC$11)+(AD43*$AD$11),2))</f>
        <v>0</v>
      </c>
      <c r="AF43" s="7"/>
      <c r="AG43" s="7"/>
      <c r="AH43" s="7"/>
      <c r="AI43" s="7"/>
      <c r="AJ43" s="7"/>
      <c r="AK43" s="46">
        <f>IF(OR($G$4="MEDIA",$G$4="BASICA - TERCER CICLO"),ROUND(((AF43*$AF$11)+(AG43*$AG$11)+(AH43*$AH$11)+(AI43*$AI$11)+(AJ43*$AJ$11)*100)/35%,2),ROUND((AF43*$AF$11)+(AG43*$AG$11)+(AH43*$AH$11)+(AI43*$AI$11)+(AJ43*$AJ$11),2))</f>
        <v>0</v>
      </c>
      <c r="AL43" s="7"/>
      <c r="AM43" s="7"/>
      <c r="AN43" s="7"/>
      <c r="AO43" s="46">
        <f>IF(OR($G$4="MEDIA",$G$4="BASICA - TERCER CICLO"),ROUND(((AL43*$AL$11)+(AM43*$AM$11)+(AN43*$AN$11)*100)/30%,2),ROUND(((AL43*$AL$11)+(AM43*$AM$11)+(AN43*$AN$11)*100)/30%,2))</f>
        <v>0</v>
      </c>
      <c r="AP43" s="7"/>
      <c r="AQ43" s="14">
        <f>IF(OR($G$4="MEDIA",$G$4="BASICA - TERCER CICLO"),ROUND((AP43*$AP$11),2),ROUND((AP43*$AP$11),0))</f>
        <v>0</v>
      </c>
      <c r="AR43" s="47">
        <f>ROUND((AE43+AK43+AO43)/3,1)</f>
        <v>0</v>
      </c>
      <c r="AS43" s="7"/>
      <c r="AT43" s="7"/>
      <c r="AU43" s="7"/>
      <c r="AV43" s="7"/>
      <c r="AW43" s="7"/>
      <c r="AX43" s="46">
        <f>IF(OR($G$4="MEDIA",$G$4="BASICA - TERCER CICLO"),ROUND(((AS43*$AS$11)+(AT43*$AT$11)+(AU43*$AU$11)+(AV43*$AV$11)+(AW43*$AW$11)*100)/35%,2),ROUND((AS43*$AS$11)+(AT43*$AT$11)+(AU43*$AU$11)+(AV43*$AV$11)+(AW43*$AW$11),2))</f>
        <v>0</v>
      </c>
      <c r="AY43" s="7"/>
      <c r="AZ43" s="7"/>
      <c r="BA43" s="7"/>
      <c r="BB43" s="7"/>
      <c r="BC43" s="7"/>
      <c r="BD43" s="46">
        <f>IF(OR($G$4="MEDIA",$G$4="BASICA - TERCER CICLO"),ROUND(((AY43*$AY$11)+(AZ43*$AZ$11)+(BA43*$BA$11)+(BB43*$BB$11)+(BC43*$BC$11)*100)/35%,2),ROUND((AY43*$AY$11)+(AZ43*$AZ$11)+(BA43*$BA$11)+(BB43*$BB$11)+(BC43*$BC$11),2))</f>
        <v>0</v>
      </c>
      <c r="BE43" s="7"/>
      <c r="BF43" s="7"/>
      <c r="BG43" s="7"/>
      <c r="BH43" s="46">
        <f>IF(OR($G$4="MEDIA",$G$4="BASICA - TERCER CICLO"),ROUND(((BE43*$BE$11)+(BF43*$BF$11)+(BG43*$BG$11)*100)/30%,2),ROUND(((BE43*$BE$11)+(BF43*$BF$11)+(BG43*$BG$11)*100)/30%,2))</f>
        <v>0</v>
      </c>
      <c r="BI43" s="7"/>
      <c r="BJ43" s="14">
        <f>IF(OR($G$4="MEDIA",$G$4="BASICA - TERCER CICLO"),ROUND((BI43*$BI$11),2),ROUND((BI43*$BI$11),0))</f>
        <v>0</v>
      </c>
      <c r="BK43" s="47">
        <f>ROUND((AX43+BD43+BH43)/3,1)</f>
        <v>0</v>
      </c>
      <c r="BL43" s="7"/>
      <c r="BM43" s="7"/>
      <c r="BN43" s="7"/>
      <c r="BO43" s="7"/>
      <c r="BP43" s="7"/>
      <c r="BQ43" s="13">
        <f>IF(OR($G$4="MEDIA",$G$4="BASICA - TERCER CICLO"),ROUND(((BL43*$BL$11)+(BM43*$BM$11)+(BN43*$BN$11)+(BO43*$BO$11)+(BP43*$BP$11)*100)/35%,2),ROUND(((BL43*$BL$11)+(BM43*$BM$11)+(BN43*$BN$11)+(BO43*$BO$11)+(BP43*$BP$11)*100)/35%,2))</f>
        <v>0</v>
      </c>
      <c r="BR43" s="7"/>
      <c r="BS43" s="7"/>
      <c r="BT43" s="7"/>
      <c r="BU43" s="7"/>
      <c r="BV43" s="7"/>
      <c r="BW43" s="13">
        <f>IF(OR($G$4="MEDIA",$G$4="BASICA - TERCER CICLO"),ROUND(((BR43*$BR$11)+(BS43*$BS$11)+(BT43*$BT$11)+(BU43*$BU$11)+(BV43*$BV$11)*100)/35%,2),ROUND(((BR43*$BR$11)+(BS43*$BS$11)+(BT43*$BT$11)+(BU43*$BU$11)+(BV43*$BP$11)*100)/35%,2))</f>
        <v>0</v>
      </c>
      <c r="BX43" s="7"/>
      <c r="BY43" s="7"/>
      <c r="BZ43" s="7"/>
      <c r="CA43" s="13">
        <f>IF(OR($G$4="MEDIA",$G$4="BASICA - TERCER CICLO"),ROUND(((BX43*$BX$11)+(BY43*$BY$11)+(BZ43*$BZ$11)*100)/30%,2),ROUND(((BX43*$BX$11)+(BY43*$BY$11)+(BZ43*$BZ$11)*100)/30%,2))</f>
        <v>0</v>
      </c>
      <c r="CB43" s="7"/>
      <c r="CC43" s="14">
        <f>IF(OR($G$4="MEDIA",$G$4="BASICA - TERCER CICLO"),ROUND((CB43*$BI$11),2),ROUND((CB43*$BI$11),0))</f>
        <v>0</v>
      </c>
      <c r="CD43" s="28">
        <f>IF(OR($G$4="MEDIA",$G$4="BASICA - TERCER CICLO"),ROUND((BQ43+BW43+CA43+CC43),1),IF($G$4="BASICA",ROUND((BQ43+BW43+CA43+CC43),0),ROUND((BQ43+BW43+CA43+CC43),1)))</f>
        <v>0</v>
      </c>
      <c r="CE43" s="28">
        <f>IF($G$4 = "MEDIA",ROUND(((Y43+AR43+BK43+CD43)/4),0),ROUND(((Y43+AR43+BK43)/3),0))</f>
        <v>0</v>
      </c>
      <c r="CF43" s="20"/>
      <c r="CG43" s="28">
        <f>IF(AND(CE43&lt;5,$G$4="BASICA"),ROUND((CE43+CF43)/2,0),IF(AND(CE43&lt;6,$G$4="MEDIA"),ROUND((CE43+CF43)/2,0),CE43))</f>
        <v>0</v>
      </c>
      <c r="CH43" s="17" t="str">
        <f>IF($G$4="MEDIA",IF(CG43&gt;=6,"Aprobado","Reprobado"),IF(CG43&gt;=5,"Aprobado","Reprobado"))</f>
        <v>Reprobado</v>
      </c>
    </row>
    <row r="44" spans="1:86" customHeight="1" ht="20.25">
      <c r="A44" s="41">
        <v>32</v>
      </c>
      <c r="B44" s="3">
        <v>10293682</v>
      </c>
      <c r="C44" s="3">
        <v>4491</v>
      </c>
      <c r="D44" s="3">
        <v>26996</v>
      </c>
      <c r="E44" s="3" t="s">
        <v>69</v>
      </c>
      <c r="F44" s="42" t="s">
        <v>39</v>
      </c>
      <c r="G44" s="32"/>
      <c r="H44" s="12"/>
      <c r="I44" s="12"/>
      <c r="J44" s="12"/>
      <c r="K44" s="12"/>
      <c r="L44" s="46">
        <f>IF(OR($G$4="MEDIA",$G$4="BASICA - TERCER CICLO"),ROUND(((G44*$G$11)+(H44*$H$11)+(I44*$I$11)+(J44*$J$11)+(K44*$K$11)*100)/35%,2),ROUND((G44*$G$11)+(H44*$H$11)+(I44*$I$11)+(J44*$J$11)+(K44*$K$11),2))</f>
        <v>0</v>
      </c>
      <c r="M44" s="12"/>
      <c r="N44" s="12"/>
      <c r="O44" s="12"/>
      <c r="P44" s="12"/>
      <c r="Q44" s="12"/>
      <c r="R44" s="46">
        <f>IF(OR($G$4="MEDIA",$G$4="BASICA - TERCER CICLO"),ROUND(((M44*$M$11)+(N44*$N$11)+(O44*$O$11)+(P44*$P$11)+(Q44*$Q$11)*100)/35%,2),ROUND((M44*$M$11)+(N44*$N$11)+(O44*$O$11)+(P44*$P$11)+(Q44*$Q$11),2))</f>
        <v>0</v>
      </c>
      <c r="S44" s="12"/>
      <c r="T44" s="12"/>
      <c r="U44" s="12"/>
      <c r="V44" s="13">
        <f>IF(OR($G$4="MEDIA",$G$4="BASICA - TERCER CICLO"),ROUND(((S44*$S$11)+(T44*$T$11)+(U44*$U$11)*100)/30%,2),ROUND(((S44*$S$11)+(T44*$T$11)+(U44*$U$11)*100)/30%,2))</f>
        <v>0</v>
      </c>
      <c r="W44" s="12"/>
      <c r="X44" s="14">
        <f>IF(OR($G$4="MEDIA",$G$4="BASICA - TERCER CICLO"),ROUND((W44*$W$11),2),ROUND((W44*$W$11),0))</f>
        <v>0</v>
      </c>
      <c r="Y44" s="47">
        <f>ROUND((L44+R44+V44)/3,1)</f>
        <v>0</v>
      </c>
      <c r="Z44" s="12"/>
      <c r="AA44" s="12"/>
      <c r="AB44" s="12"/>
      <c r="AC44" s="12"/>
      <c r="AD44" s="12"/>
      <c r="AE44" s="46">
        <f>IF(OR($G$4="MEDIA",$G$4="BASICA - TERCER CICLO"),ROUND(((Z44*$Z$11)+(AA44*$AA$11)+(AB44*$AB$11)+(AC44*$AC$11)+(AD44*$AD$11)*100)/35%,2),ROUND((Z44*$Z$11)+(AA44*$AA$11)+(AB44*$AB$11)+(AC44*$AC$11)+(AD44*$AD$11),2))</f>
        <v>0</v>
      </c>
      <c r="AF44" s="12"/>
      <c r="AG44" s="12"/>
      <c r="AH44" s="12"/>
      <c r="AI44" s="12"/>
      <c r="AJ44" s="12"/>
      <c r="AK44" s="46">
        <f>IF(OR($G$4="MEDIA",$G$4="BASICA - TERCER CICLO"),ROUND(((AF44*$AF$11)+(AG44*$AG$11)+(AH44*$AH$11)+(AI44*$AI$11)+(AJ44*$AJ$11)*100)/35%,2),ROUND((AF44*$AF$11)+(AG44*$AG$11)+(AH44*$AH$11)+(AI44*$AI$11)+(AJ44*$AJ$11),2))</f>
        <v>0</v>
      </c>
      <c r="AL44" s="12"/>
      <c r="AM44" s="12"/>
      <c r="AN44" s="12"/>
      <c r="AO44" s="46">
        <f>IF(OR($G$4="MEDIA",$G$4="BASICA - TERCER CICLO"),ROUND(((AL44*$AL$11)+(AM44*$AM$11)+(AN44*$AN$11)*100)/30%,2),ROUND(((AL44*$AL$11)+(AM44*$AM$11)+(AN44*$AN$11)*100)/30%,2))</f>
        <v>0</v>
      </c>
      <c r="AP44" s="12"/>
      <c r="AQ44" s="14">
        <f>IF(OR($G$4="MEDIA",$G$4="BASICA - TERCER CICLO"),ROUND((AP44*$AP$11),2),ROUND((AP44*$AP$11),0))</f>
        <v>0</v>
      </c>
      <c r="AR44" s="47">
        <f>ROUND((AE44+AK44+AO44)/3,1)</f>
        <v>0</v>
      </c>
      <c r="AS44" s="12"/>
      <c r="AT44" s="12"/>
      <c r="AU44" s="12"/>
      <c r="AV44" s="12"/>
      <c r="AW44" s="12"/>
      <c r="AX44" s="46">
        <f>IF(OR($G$4="MEDIA",$G$4="BASICA - TERCER CICLO"),ROUND(((AS44*$AS$11)+(AT44*$AT$11)+(AU44*$AU$11)+(AV44*$AV$11)+(AW44*$AW$11)*100)/35%,2),ROUND((AS44*$AS$11)+(AT44*$AT$11)+(AU44*$AU$11)+(AV44*$AV$11)+(AW44*$AW$11),2))</f>
        <v>0</v>
      </c>
      <c r="AY44" s="12"/>
      <c r="AZ44" s="12"/>
      <c r="BA44" s="12"/>
      <c r="BB44" s="12"/>
      <c r="BC44" s="12"/>
      <c r="BD44" s="46">
        <f>IF(OR($G$4="MEDIA",$G$4="BASICA - TERCER CICLO"),ROUND(((AY44*$AY$11)+(AZ44*$AZ$11)+(BA44*$BA$11)+(BB44*$BB$11)+(BC44*$BC$11)*100)/35%,2),ROUND((AY44*$AY$11)+(AZ44*$AZ$11)+(BA44*$BA$11)+(BB44*$BB$11)+(BC44*$BC$11),2))</f>
        <v>0</v>
      </c>
      <c r="BE44" s="12"/>
      <c r="BF44" s="12"/>
      <c r="BG44" s="12"/>
      <c r="BH44" s="46">
        <f>IF(OR($G$4="MEDIA",$G$4="BASICA - TERCER CICLO"),ROUND(((BE44*$BE$11)+(BF44*$BF$11)+(BG44*$BG$11)*100)/30%,2),ROUND(((BE44*$BE$11)+(BF44*$BF$11)+(BG44*$BG$11)*100)/30%,2))</f>
        <v>0</v>
      </c>
      <c r="BI44" s="12"/>
      <c r="BJ44" s="14">
        <f>IF(OR($G$4="MEDIA",$G$4="BASICA - TERCER CICLO"),ROUND((BI44*$BI$11),2),ROUND((BI44*$BI$11),0))</f>
        <v>0</v>
      </c>
      <c r="BK44" s="47">
        <f>ROUND((AX44+BD44+BH44)/3,1)</f>
        <v>0</v>
      </c>
      <c r="BL44" s="12"/>
      <c r="BM44" s="12"/>
      <c r="BN44" s="12"/>
      <c r="BO44" s="12"/>
      <c r="BP44" s="12"/>
      <c r="BQ44" s="13">
        <f>IF(OR($G$4="MEDIA",$G$4="BASICA - TERCER CICLO"),ROUND(((BL44*$BL$11)+(BM44*$BM$11)+(BN44*$BN$11)+(BO44*$BO$11)+(BP44*$BP$11)*100)/35%,2),ROUND(((BL44*$BL$11)+(BM44*$BM$11)+(BN44*$BN$11)+(BO44*$BO$11)+(BP44*$BP$11)*100)/35%,2))</f>
        <v>0</v>
      </c>
      <c r="BR44" s="12"/>
      <c r="BS44" s="12"/>
      <c r="BT44" s="12"/>
      <c r="BU44" s="12"/>
      <c r="BV44" s="12"/>
      <c r="BW44" s="13">
        <f>IF(OR($G$4="MEDIA",$G$4="BASICA - TERCER CICLO"),ROUND(((BR44*$BR$11)+(BS44*$BS$11)+(BT44*$BT$11)+(BU44*$BU$11)+(BV44*$BV$11)*100)/35%,2),ROUND(((BR44*$BR$11)+(BS44*$BS$11)+(BT44*$BT$11)+(BU44*$BU$11)+(BV44*$BP$11)*100)/35%,2))</f>
        <v>0</v>
      </c>
      <c r="BX44" s="12"/>
      <c r="BY44" s="12"/>
      <c r="BZ44" s="12"/>
      <c r="CA44" s="13">
        <f>IF(OR($G$4="MEDIA",$G$4="BASICA - TERCER CICLO"),ROUND(((BX44*$BX$11)+(BY44*$BY$11)+(BZ44*$BZ$11)*100)/30%,2),ROUND(((BX44*$BX$11)+(BY44*$BY$11)+(BZ44*$BZ$11)*100)/30%,2))</f>
        <v>0</v>
      </c>
      <c r="CB44" s="12"/>
      <c r="CC44" s="14">
        <f>IF(OR($G$4="MEDIA",$G$4="BASICA - TERCER CICLO"),ROUND((CB44*$BI$11),2),ROUND((CB44*$BI$11),0))</f>
        <v>0</v>
      </c>
      <c r="CD44" s="28">
        <f>IF(OR($G$4="MEDIA",$G$4="BASICA - TERCER CICLO"),ROUND((BQ44+BW44+CA44+CC44),1),IF($G$4="BASICA",ROUND((BQ44+BW44+CA44+CC44),0),ROUND((BQ44+BW44+CA44+CC44),1)))</f>
        <v>0</v>
      </c>
      <c r="CE44" s="28">
        <f>IF($G$4 = "MEDIA",ROUND(((Y44+AR44+BK44+CD44)/4),0),ROUND(((Y44+AR44+BK44)/3),0))</f>
        <v>0</v>
      </c>
      <c r="CF44" s="21"/>
      <c r="CG44" s="28">
        <f>IF(AND(CE44&lt;5,$G$4="BASICA"),ROUND((CE44+CF44)/2,0),IF(AND(CE44&lt;6,$G$4="MEDIA"),ROUND((CE44+CF44)/2,0),CE44))</f>
        <v>0</v>
      </c>
      <c r="CH44" s="16" t="str">
        <f>IF($G$4="MEDIA",IF(CG44&gt;=6,"Aprobado","Reprobado"),IF(CG44&gt;=5,"Aprobado","Reprobado"))</f>
        <v>Reprobado</v>
      </c>
    </row>
    <row r="45" spans="1:86" customHeight="1" ht="20.25">
      <c r="A45" s="39">
        <v>33</v>
      </c>
      <c r="B45" s="2">
        <v>10282539</v>
      </c>
      <c r="C45" s="2">
        <v>4396</v>
      </c>
      <c r="D45" s="2">
        <v>26980</v>
      </c>
      <c r="E45" s="2" t="s">
        <v>70</v>
      </c>
      <c r="F45" s="40" t="s">
        <v>39</v>
      </c>
      <c r="G45" s="31"/>
      <c r="H45" s="7"/>
      <c r="I45" s="7"/>
      <c r="J45" s="7"/>
      <c r="K45" s="7"/>
      <c r="L45" s="46">
        <f>IF(OR($G$4="MEDIA",$G$4="BASICA - TERCER CICLO"),ROUND(((G45*$G$11)+(H45*$H$11)+(I45*$I$11)+(J45*$J$11)+(K45*$K$11)*100)/35%,2),ROUND((G45*$G$11)+(H45*$H$11)+(I45*$I$11)+(J45*$J$11)+(K45*$K$11),2))</f>
        <v>0</v>
      </c>
      <c r="M45" s="7"/>
      <c r="N45" s="7"/>
      <c r="O45" s="7"/>
      <c r="P45" s="7"/>
      <c r="Q45" s="7"/>
      <c r="R45" s="46">
        <f>IF(OR($G$4="MEDIA",$G$4="BASICA - TERCER CICLO"),ROUND(((M45*$M$11)+(N45*$N$11)+(O45*$O$11)+(P45*$P$11)+(Q45*$Q$11)*100)/35%,2),ROUND((M45*$M$11)+(N45*$N$11)+(O45*$O$11)+(P45*$P$11)+(Q45*$Q$11),2))</f>
        <v>0</v>
      </c>
      <c r="S45" s="7"/>
      <c r="T45" s="7"/>
      <c r="U45" s="7"/>
      <c r="V45" s="13">
        <f>IF(OR($G$4="MEDIA",$G$4="BASICA - TERCER CICLO"),ROUND(((S45*$S$11)+(T45*$T$11)+(U45*$U$11)*100)/30%,2),ROUND(((S45*$S$11)+(T45*$T$11)+(U45*$U$11)*100)/30%,2))</f>
        <v>0</v>
      </c>
      <c r="W45" s="7"/>
      <c r="X45" s="14">
        <f>IF(OR($G$4="MEDIA",$G$4="BASICA - TERCER CICLO"),ROUND((W45*$W$11),2),ROUND((W45*$W$11),0))</f>
        <v>0</v>
      </c>
      <c r="Y45" s="47">
        <f>ROUND((L45+R45+V45)/3,1)</f>
        <v>0</v>
      </c>
      <c r="Z45" s="7"/>
      <c r="AA45" s="7"/>
      <c r="AB45" s="7"/>
      <c r="AC45" s="7"/>
      <c r="AD45" s="7"/>
      <c r="AE45" s="46">
        <f>IF(OR($G$4="MEDIA",$G$4="BASICA - TERCER CICLO"),ROUND(((Z45*$Z$11)+(AA45*$AA$11)+(AB45*$AB$11)+(AC45*$AC$11)+(AD45*$AD$11)*100)/35%,2),ROUND((Z45*$Z$11)+(AA45*$AA$11)+(AB45*$AB$11)+(AC45*$AC$11)+(AD45*$AD$11),2))</f>
        <v>0</v>
      </c>
      <c r="AF45" s="7"/>
      <c r="AG45" s="7"/>
      <c r="AH45" s="7"/>
      <c r="AI45" s="7"/>
      <c r="AJ45" s="7"/>
      <c r="AK45" s="46">
        <f>IF(OR($G$4="MEDIA",$G$4="BASICA - TERCER CICLO"),ROUND(((AF45*$AF$11)+(AG45*$AG$11)+(AH45*$AH$11)+(AI45*$AI$11)+(AJ45*$AJ$11)*100)/35%,2),ROUND((AF45*$AF$11)+(AG45*$AG$11)+(AH45*$AH$11)+(AI45*$AI$11)+(AJ45*$AJ$11),2))</f>
        <v>0</v>
      </c>
      <c r="AL45" s="7"/>
      <c r="AM45" s="7"/>
      <c r="AN45" s="7"/>
      <c r="AO45" s="46">
        <f>IF(OR($G$4="MEDIA",$G$4="BASICA - TERCER CICLO"),ROUND(((AL45*$AL$11)+(AM45*$AM$11)+(AN45*$AN$11)*100)/30%,2),ROUND(((AL45*$AL$11)+(AM45*$AM$11)+(AN45*$AN$11)*100)/30%,2))</f>
        <v>0</v>
      </c>
      <c r="AP45" s="7"/>
      <c r="AQ45" s="14">
        <f>IF(OR($G$4="MEDIA",$G$4="BASICA - TERCER CICLO"),ROUND((AP45*$AP$11),2),ROUND((AP45*$AP$11),0))</f>
        <v>0</v>
      </c>
      <c r="AR45" s="47">
        <f>ROUND((AE45+AK45+AO45)/3,1)</f>
        <v>0</v>
      </c>
      <c r="AS45" s="7"/>
      <c r="AT45" s="7"/>
      <c r="AU45" s="7"/>
      <c r="AV45" s="7"/>
      <c r="AW45" s="7"/>
      <c r="AX45" s="46">
        <f>IF(OR($G$4="MEDIA",$G$4="BASICA - TERCER CICLO"),ROUND(((AS45*$AS$11)+(AT45*$AT$11)+(AU45*$AU$11)+(AV45*$AV$11)+(AW45*$AW$11)*100)/35%,2),ROUND((AS45*$AS$11)+(AT45*$AT$11)+(AU45*$AU$11)+(AV45*$AV$11)+(AW45*$AW$11),2))</f>
        <v>0</v>
      </c>
      <c r="AY45" s="7"/>
      <c r="AZ45" s="7"/>
      <c r="BA45" s="7"/>
      <c r="BB45" s="7"/>
      <c r="BC45" s="7"/>
      <c r="BD45" s="46">
        <f>IF(OR($G$4="MEDIA",$G$4="BASICA - TERCER CICLO"),ROUND(((AY45*$AY$11)+(AZ45*$AZ$11)+(BA45*$BA$11)+(BB45*$BB$11)+(BC45*$BC$11)*100)/35%,2),ROUND((AY45*$AY$11)+(AZ45*$AZ$11)+(BA45*$BA$11)+(BB45*$BB$11)+(BC45*$BC$11),2))</f>
        <v>0</v>
      </c>
      <c r="BE45" s="7"/>
      <c r="BF45" s="7"/>
      <c r="BG45" s="7"/>
      <c r="BH45" s="46">
        <f>IF(OR($G$4="MEDIA",$G$4="BASICA - TERCER CICLO"),ROUND(((BE45*$BE$11)+(BF45*$BF$11)+(BG45*$BG$11)*100)/30%,2),ROUND(((BE45*$BE$11)+(BF45*$BF$11)+(BG45*$BG$11)*100)/30%,2))</f>
        <v>0</v>
      </c>
      <c r="BI45" s="7"/>
      <c r="BJ45" s="14">
        <f>IF(OR($G$4="MEDIA",$G$4="BASICA - TERCER CICLO"),ROUND((BI45*$BI$11),2),ROUND((BI45*$BI$11),0))</f>
        <v>0</v>
      </c>
      <c r="BK45" s="47">
        <f>ROUND((AX45+BD45+BH45)/3,1)</f>
        <v>0</v>
      </c>
      <c r="BL45" s="7"/>
      <c r="BM45" s="7"/>
      <c r="BN45" s="7"/>
      <c r="BO45" s="7"/>
      <c r="BP45" s="7"/>
      <c r="BQ45" s="13">
        <f>IF(OR($G$4="MEDIA",$G$4="BASICA - TERCER CICLO"),ROUND(((BL45*$BL$11)+(BM45*$BM$11)+(BN45*$BN$11)+(BO45*$BO$11)+(BP45*$BP$11)*100)/35%,2),ROUND(((BL45*$BL$11)+(BM45*$BM$11)+(BN45*$BN$11)+(BO45*$BO$11)+(BP45*$BP$11)*100)/35%,2))</f>
        <v>0</v>
      </c>
      <c r="BR45" s="7"/>
      <c r="BS45" s="7"/>
      <c r="BT45" s="7"/>
      <c r="BU45" s="7"/>
      <c r="BV45" s="7"/>
      <c r="BW45" s="13">
        <f>IF(OR($G$4="MEDIA",$G$4="BASICA - TERCER CICLO"),ROUND(((BR45*$BR$11)+(BS45*$BS$11)+(BT45*$BT$11)+(BU45*$BU$11)+(BV45*$BV$11)*100)/35%,2),ROUND(((BR45*$BR$11)+(BS45*$BS$11)+(BT45*$BT$11)+(BU45*$BU$11)+(BV45*$BP$11)*100)/35%,2))</f>
        <v>0</v>
      </c>
      <c r="BX45" s="7"/>
      <c r="BY45" s="7"/>
      <c r="BZ45" s="7"/>
      <c r="CA45" s="13">
        <f>IF(OR($G$4="MEDIA",$G$4="BASICA - TERCER CICLO"),ROUND(((BX45*$BX$11)+(BY45*$BY$11)+(BZ45*$BZ$11)*100)/30%,2),ROUND(((BX45*$BX$11)+(BY45*$BY$11)+(BZ45*$BZ$11)*100)/30%,2))</f>
        <v>0</v>
      </c>
      <c r="CB45" s="7"/>
      <c r="CC45" s="14">
        <f>IF(OR($G$4="MEDIA",$G$4="BASICA - TERCER CICLO"),ROUND((CB45*$BI$11),2),ROUND((CB45*$BI$11),0))</f>
        <v>0</v>
      </c>
      <c r="CD45" s="28">
        <f>IF(OR($G$4="MEDIA",$G$4="BASICA - TERCER CICLO"),ROUND((BQ45+BW45+CA45+CC45),1),IF($G$4="BASICA",ROUND((BQ45+BW45+CA45+CC45),0),ROUND((BQ45+BW45+CA45+CC45),1)))</f>
        <v>0</v>
      </c>
      <c r="CE45" s="28">
        <f>IF($G$4 = "MEDIA",ROUND(((Y45+AR45+BK45+CD45)/4),0),ROUND(((Y45+AR45+BK45)/3),0))</f>
        <v>0</v>
      </c>
      <c r="CF45" s="20"/>
      <c r="CG45" s="28">
        <f>IF(AND(CE45&lt;5,$G$4="BASICA"),ROUND((CE45+CF45)/2,0),IF(AND(CE45&lt;6,$G$4="MEDIA"),ROUND((CE45+CF45)/2,0),CE45))</f>
        <v>0</v>
      </c>
      <c r="CH45" s="17" t="str">
        <f>IF($G$4="MEDIA",IF(CG45&gt;=6,"Aprobado","Reprobado"),IF(CG45&gt;=5,"Aprobado","Reprobado"))</f>
        <v>Reprobado</v>
      </c>
    </row>
    <row r="46" spans="1:86" customHeight="1" ht="20.25">
      <c r="A46" s="41">
        <v>34</v>
      </c>
      <c r="B46" s="3">
        <v>10635345</v>
      </c>
      <c r="C46" s="3">
        <v>4880</v>
      </c>
      <c r="D46" s="3">
        <v>26981</v>
      </c>
      <c r="E46" s="3" t="s">
        <v>71</v>
      </c>
      <c r="F46" s="42" t="s">
        <v>37</v>
      </c>
      <c r="G46" s="32"/>
      <c r="H46" s="12"/>
      <c r="I46" s="12"/>
      <c r="J46" s="12"/>
      <c r="K46" s="12"/>
      <c r="L46" s="46">
        <f>IF(OR($G$4="MEDIA",$G$4="BASICA - TERCER CICLO"),ROUND(((G46*$G$11)+(H46*$H$11)+(I46*$I$11)+(J46*$J$11)+(K46*$K$11)*100)/35%,2),ROUND((G46*$G$11)+(H46*$H$11)+(I46*$I$11)+(J46*$J$11)+(K46*$K$11),2))</f>
        <v>0</v>
      </c>
      <c r="M46" s="12"/>
      <c r="N46" s="12"/>
      <c r="O46" s="12"/>
      <c r="P46" s="12"/>
      <c r="Q46" s="12"/>
      <c r="R46" s="46">
        <f>IF(OR($G$4="MEDIA",$G$4="BASICA - TERCER CICLO"),ROUND(((M46*$M$11)+(N46*$N$11)+(O46*$O$11)+(P46*$P$11)+(Q46*$Q$11)*100)/35%,2),ROUND((M46*$M$11)+(N46*$N$11)+(O46*$O$11)+(P46*$P$11)+(Q46*$Q$11),2))</f>
        <v>0</v>
      </c>
      <c r="S46" s="12"/>
      <c r="T46" s="12"/>
      <c r="U46" s="12"/>
      <c r="V46" s="13">
        <f>IF(OR($G$4="MEDIA",$G$4="BASICA - TERCER CICLO"),ROUND(((S46*$S$11)+(T46*$T$11)+(U46*$U$11)*100)/30%,2),ROUND(((S46*$S$11)+(T46*$T$11)+(U46*$U$11)*100)/30%,2))</f>
        <v>0</v>
      </c>
      <c r="W46" s="12"/>
      <c r="X46" s="14">
        <f>IF(OR($G$4="MEDIA",$G$4="BASICA - TERCER CICLO"),ROUND((W46*$W$11),2),ROUND((W46*$W$11),0))</f>
        <v>0</v>
      </c>
      <c r="Y46" s="47">
        <f>ROUND((L46+R46+V46)/3,1)</f>
        <v>0</v>
      </c>
      <c r="Z46" s="12"/>
      <c r="AA46" s="12"/>
      <c r="AB46" s="12"/>
      <c r="AC46" s="12"/>
      <c r="AD46" s="12"/>
      <c r="AE46" s="46">
        <f>IF(OR($G$4="MEDIA",$G$4="BASICA - TERCER CICLO"),ROUND(((Z46*$Z$11)+(AA46*$AA$11)+(AB46*$AB$11)+(AC46*$AC$11)+(AD46*$AD$11)*100)/35%,2),ROUND((Z46*$Z$11)+(AA46*$AA$11)+(AB46*$AB$11)+(AC46*$AC$11)+(AD46*$AD$11),2))</f>
        <v>0</v>
      </c>
      <c r="AF46" s="12"/>
      <c r="AG46" s="12"/>
      <c r="AH46" s="12"/>
      <c r="AI46" s="12"/>
      <c r="AJ46" s="12"/>
      <c r="AK46" s="46">
        <f>IF(OR($G$4="MEDIA",$G$4="BASICA - TERCER CICLO"),ROUND(((AF46*$AF$11)+(AG46*$AG$11)+(AH46*$AH$11)+(AI46*$AI$11)+(AJ46*$AJ$11)*100)/35%,2),ROUND((AF46*$AF$11)+(AG46*$AG$11)+(AH46*$AH$11)+(AI46*$AI$11)+(AJ46*$AJ$11),2))</f>
        <v>0</v>
      </c>
      <c r="AL46" s="12"/>
      <c r="AM46" s="12"/>
      <c r="AN46" s="12"/>
      <c r="AO46" s="46">
        <f>IF(OR($G$4="MEDIA",$G$4="BASICA - TERCER CICLO"),ROUND(((AL46*$AL$11)+(AM46*$AM$11)+(AN46*$AN$11)*100)/30%,2),ROUND(((AL46*$AL$11)+(AM46*$AM$11)+(AN46*$AN$11)*100)/30%,2))</f>
        <v>0</v>
      </c>
      <c r="AP46" s="12"/>
      <c r="AQ46" s="14">
        <f>IF(OR($G$4="MEDIA",$G$4="BASICA - TERCER CICLO"),ROUND((AP46*$AP$11),2),ROUND((AP46*$AP$11),0))</f>
        <v>0</v>
      </c>
      <c r="AR46" s="47">
        <f>ROUND((AE46+AK46+AO46)/3,1)</f>
        <v>0</v>
      </c>
      <c r="AS46" s="12"/>
      <c r="AT46" s="12"/>
      <c r="AU46" s="12"/>
      <c r="AV46" s="12"/>
      <c r="AW46" s="12"/>
      <c r="AX46" s="46">
        <f>IF(OR($G$4="MEDIA",$G$4="BASICA - TERCER CICLO"),ROUND(((AS46*$AS$11)+(AT46*$AT$11)+(AU46*$AU$11)+(AV46*$AV$11)+(AW46*$AW$11)*100)/35%,2),ROUND((AS46*$AS$11)+(AT46*$AT$11)+(AU46*$AU$11)+(AV46*$AV$11)+(AW46*$AW$11),2))</f>
        <v>0</v>
      </c>
      <c r="AY46" s="12"/>
      <c r="AZ46" s="12"/>
      <c r="BA46" s="12"/>
      <c r="BB46" s="12"/>
      <c r="BC46" s="12"/>
      <c r="BD46" s="46">
        <f>IF(OR($G$4="MEDIA",$G$4="BASICA - TERCER CICLO"),ROUND(((AY46*$AY$11)+(AZ46*$AZ$11)+(BA46*$BA$11)+(BB46*$BB$11)+(BC46*$BC$11)*100)/35%,2),ROUND((AY46*$AY$11)+(AZ46*$AZ$11)+(BA46*$BA$11)+(BB46*$BB$11)+(BC46*$BC$11),2))</f>
        <v>0</v>
      </c>
      <c r="BE46" s="12"/>
      <c r="BF46" s="12"/>
      <c r="BG46" s="12"/>
      <c r="BH46" s="46">
        <f>IF(OR($G$4="MEDIA",$G$4="BASICA - TERCER CICLO"),ROUND(((BE46*$BE$11)+(BF46*$BF$11)+(BG46*$BG$11)*100)/30%,2),ROUND(((BE46*$BE$11)+(BF46*$BF$11)+(BG46*$BG$11)*100)/30%,2))</f>
        <v>0</v>
      </c>
      <c r="BI46" s="12"/>
      <c r="BJ46" s="14">
        <f>IF(OR($G$4="MEDIA",$G$4="BASICA - TERCER CICLO"),ROUND((BI46*$BI$11),2),ROUND((BI46*$BI$11),0))</f>
        <v>0</v>
      </c>
      <c r="BK46" s="47">
        <f>ROUND((AX46+BD46+BH46)/3,1)</f>
        <v>0</v>
      </c>
      <c r="BL46" s="12"/>
      <c r="BM46" s="12"/>
      <c r="BN46" s="12"/>
      <c r="BO46" s="12"/>
      <c r="BP46" s="12"/>
      <c r="BQ46" s="13">
        <f>IF(OR($G$4="MEDIA",$G$4="BASICA - TERCER CICLO"),ROUND(((BL46*$BL$11)+(BM46*$BM$11)+(BN46*$BN$11)+(BO46*$BO$11)+(BP46*$BP$11)*100)/35%,2),ROUND(((BL46*$BL$11)+(BM46*$BM$11)+(BN46*$BN$11)+(BO46*$BO$11)+(BP46*$BP$11)*100)/35%,2))</f>
        <v>0</v>
      </c>
      <c r="BR46" s="12"/>
      <c r="BS46" s="12"/>
      <c r="BT46" s="12"/>
      <c r="BU46" s="12"/>
      <c r="BV46" s="12"/>
      <c r="BW46" s="13">
        <f>IF(OR($G$4="MEDIA",$G$4="BASICA - TERCER CICLO"),ROUND(((BR46*$BR$11)+(BS46*$BS$11)+(BT46*$BT$11)+(BU46*$BU$11)+(BV46*$BV$11)*100)/35%,2),ROUND(((BR46*$BR$11)+(BS46*$BS$11)+(BT46*$BT$11)+(BU46*$BU$11)+(BV46*$BP$11)*100)/35%,2))</f>
        <v>0</v>
      </c>
      <c r="BX46" s="12"/>
      <c r="BY46" s="12"/>
      <c r="BZ46" s="12"/>
      <c r="CA46" s="13">
        <f>IF(OR($G$4="MEDIA",$G$4="BASICA - TERCER CICLO"),ROUND(((BX46*$BX$11)+(BY46*$BY$11)+(BZ46*$BZ$11)*100)/30%,2),ROUND(((BX46*$BX$11)+(BY46*$BY$11)+(BZ46*$BZ$11)*100)/30%,2))</f>
        <v>0</v>
      </c>
      <c r="CB46" s="12"/>
      <c r="CC46" s="14">
        <f>IF(OR($G$4="MEDIA",$G$4="BASICA - TERCER CICLO"),ROUND((CB46*$BI$11),2),ROUND((CB46*$BI$11),0))</f>
        <v>0</v>
      </c>
      <c r="CD46" s="28">
        <f>IF(OR($G$4="MEDIA",$G$4="BASICA - TERCER CICLO"),ROUND((BQ46+BW46+CA46+CC46),1),IF($G$4="BASICA",ROUND((BQ46+BW46+CA46+CC46),0),ROUND((BQ46+BW46+CA46+CC46),1)))</f>
        <v>0</v>
      </c>
      <c r="CE46" s="28">
        <f>IF($G$4 = "MEDIA",ROUND(((Y46+AR46+BK46+CD46)/4),0),ROUND(((Y46+AR46+BK46)/3),0))</f>
        <v>0</v>
      </c>
      <c r="CF46" s="21"/>
      <c r="CG46" s="28">
        <f>IF(AND(CE46&lt;5,$G$4="BASICA"),ROUND((CE46+CF46)/2,0),IF(AND(CE46&lt;6,$G$4="MEDIA"),ROUND((CE46+CF46)/2,0),CE46))</f>
        <v>0</v>
      </c>
      <c r="CH46" s="16" t="str">
        <f>IF($G$4="MEDIA",IF(CG46&gt;=6,"Aprobado","Reprobado"),IF(CG46&gt;=5,"Aprobado","Reprobado"))</f>
        <v>Reprobado</v>
      </c>
    </row>
    <row r="47" spans="1:86" customHeight="1" ht="20.25">
      <c r="A47" s="39">
        <v>35</v>
      </c>
      <c r="B47" s="2">
        <v>10112796</v>
      </c>
      <c r="C47" s="2">
        <v>5120</v>
      </c>
      <c r="D47" s="2">
        <v>26982</v>
      </c>
      <c r="E47" s="2" t="s">
        <v>72</v>
      </c>
      <c r="F47" s="40" t="s">
        <v>37</v>
      </c>
      <c r="G47" s="31"/>
      <c r="H47" s="7"/>
      <c r="I47" s="7"/>
      <c r="J47" s="7"/>
      <c r="K47" s="7"/>
      <c r="L47" s="46">
        <f>IF(OR($G$4="MEDIA",$G$4="BASICA - TERCER CICLO"),ROUND(((G47*$G$11)+(H47*$H$11)+(I47*$I$11)+(J47*$J$11)+(K47*$K$11)*100)/35%,2),ROUND((G47*$G$11)+(H47*$H$11)+(I47*$I$11)+(J47*$J$11)+(K47*$K$11),2))</f>
        <v>0</v>
      </c>
      <c r="M47" s="7"/>
      <c r="N47" s="7"/>
      <c r="O47" s="7"/>
      <c r="P47" s="7"/>
      <c r="Q47" s="7"/>
      <c r="R47" s="46">
        <f>IF(OR($G$4="MEDIA",$G$4="BASICA - TERCER CICLO"),ROUND(((M47*$M$11)+(N47*$N$11)+(O47*$O$11)+(P47*$P$11)+(Q47*$Q$11)*100)/35%,2),ROUND((M47*$M$11)+(N47*$N$11)+(O47*$O$11)+(P47*$P$11)+(Q47*$Q$11),2))</f>
        <v>0</v>
      </c>
      <c r="S47" s="7"/>
      <c r="T47" s="7"/>
      <c r="U47" s="7"/>
      <c r="V47" s="13">
        <f>IF(OR($G$4="MEDIA",$G$4="BASICA - TERCER CICLO"),ROUND(((S47*$S$11)+(T47*$T$11)+(U47*$U$11)*100)/30%,2),ROUND(((S47*$S$11)+(T47*$T$11)+(U47*$U$11)*100)/30%,2))</f>
        <v>0</v>
      </c>
      <c r="W47" s="7"/>
      <c r="X47" s="14">
        <f>IF(OR($G$4="MEDIA",$G$4="BASICA - TERCER CICLO"),ROUND((W47*$W$11),2),ROUND((W47*$W$11),0))</f>
        <v>0</v>
      </c>
      <c r="Y47" s="47">
        <f>ROUND((L47+R47+V47)/3,1)</f>
        <v>0</v>
      </c>
      <c r="Z47" s="7"/>
      <c r="AA47" s="7"/>
      <c r="AB47" s="7"/>
      <c r="AC47" s="7"/>
      <c r="AD47" s="7"/>
      <c r="AE47" s="46">
        <f>IF(OR($G$4="MEDIA",$G$4="BASICA - TERCER CICLO"),ROUND(((Z47*$Z$11)+(AA47*$AA$11)+(AB47*$AB$11)+(AC47*$AC$11)+(AD47*$AD$11)*100)/35%,2),ROUND((Z47*$Z$11)+(AA47*$AA$11)+(AB47*$AB$11)+(AC47*$AC$11)+(AD47*$AD$11),2))</f>
        <v>0</v>
      </c>
      <c r="AF47" s="7"/>
      <c r="AG47" s="7"/>
      <c r="AH47" s="7"/>
      <c r="AI47" s="7"/>
      <c r="AJ47" s="7"/>
      <c r="AK47" s="46">
        <f>IF(OR($G$4="MEDIA",$G$4="BASICA - TERCER CICLO"),ROUND(((AF47*$AF$11)+(AG47*$AG$11)+(AH47*$AH$11)+(AI47*$AI$11)+(AJ47*$AJ$11)*100)/35%,2),ROUND((AF47*$AF$11)+(AG47*$AG$11)+(AH47*$AH$11)+(AI47*$AI$11)+(AJ47*$AJ$11),2))</f>
        <v>0</v>
      </c>
      <c r="AL47" s="7"/>
      <c r="AM47" s="7"/>
      <c r="AN47" s="7"/>
      <c r="AO47" s="46">
        <f>IF(OR($G$4="MEDIA",$G$4="BASICA - TERCER CICLO"),ROUND(((AL47*$AL$11)+(AM47*$AM$11)+(AN47*$AN$11)*100)/30%,2),ROUND(((AL47*$AL$11)+(AM47*$AM$11)+(AN47*$AN$11)*100)/30%,2))</f>
        <v>0</v>
      </c>
      <c r="AP47" s="7"/>
      <c r="AQ47" s="14">
        <f>IF(OR($G$4="MEDIA",$G$4="BASICA - TERCER CICLO"),ROUND((AP47*$AP$11),2),ROUND((AP47*$AP$11),0))</f>
        <v>0</v>
      </c>
      <c r="AR47" s="47">
        <f>ROUND((AE47+AK47+AO47)/3,1)</f>
        <v>0</v>
      </c>
      <c r="AS47" s="7"/>
      <c r="AT47" s="7"/>
      <c r="AU47" s="7"/>
      <c r="AV47" s="7"/>
      <c r="AW47" s="7"/>
      <c r="AX47" s="46">
        <f>IF(OR($G$4="MEDIA",$G$4="BASICA - TERCER CICLO"),ROUND(((AS47*$AS$11)+(AT47*$AT$11)+(AU47*$AU$11)+(AV47*$AV$11)+(AW47*$AW$11)*100)/35%,2),ROUND((AS47*$AS$11)+(AT47*$AT$11)+(AU47*$AU$11)+(AV47*$AV$11)+(AW47*$AW$11),2))</f>
        <v>0</v>
      </c>
      <c r="AY47" s="7"/>
      <c r="AZ47" s="7"/>
      <c r="BA47" s="7"/>
      <c r="BB47" s="7"/>
      <c r="BC47" s="7"/>
      <c r="BD47" s="46">
        <f>IF(OR($G$4="MEDIA",$G$4="BASICA - TERCER CICLO"),ROUND(((AY47*$AY$11)+(AZ47*$AZ$11)+(BA47*$BA$11)+(BB47*$BB$11)+(BC47*$BC$11)*100)/35%,2),ROUND((AY47*$AY$11)+(AZ47*$AZ$11)+(BA47*$BA$11)+(BB47*$BB$11)+(BC47*$BC$11),2))</f>
        <v>0</v>
      </c>
      <c r="BE47" s="7"/>
      <c r="BF47" s="7"/>
      <c r="BG47" s="7"/>
      <c r="BH47" s="46">
        <f>IF(OR($G$4="MEDIA",$G$4="BASICA - TERCER CICLO"),ROUND(((BE47*$BE$11)+(BF47*$BF$11)+(BG47*$BG$11)*100)/30%,2),ROUND(((BE47*$BE$11)+(BF47*$BF$11)+(BG47*$BG$11)*100)/30%,2))</f>
        <v>0</v>
      </c>
      <c r="BI47" s="7"/>
      <c r="BJ47" s="14">
        <f>IF(OR($G$4="MEDIA",$G$4="BASICA - TERCER CICLO"),ROUND((BI47*$BI$11),2),ROUND((BI47*$BI$11),0))</f>
        <v>0</v>
      </c>
      <c r="BK47" s="47">
        <f>ROUND((AX47+BD47+BH47)/3,1)</f>
        <v>0</v>
      </c>
      <c r="BL47" s="7"/>
      <c r="BM47" s="7"/>
      <c r="BN47" s="7"/>
      <c r="BO47" s="7"/>
      <c r="BP47" s="7"/>
      <c r="BQ47" s="13">
        <f>IF(OR($G$4="MEDIA",$G$4="BASICA - TERCER CICLO"),ROUND(((BL47*$BL$11)+(BM47*$BM$11)+(BN47*$BN$11)+(BO47*$BO$11)+(BP47*$BP$11)*100)/35%,2),ROUND(((BL47*$BL$11)+(BM47*$BM$11)+(BN47*$BN$11)+(BO47*$BO$11)+(BP47*$BP$11)*100)/35%,2))</f>
        <v>0</v>
      </c>
      <c r="BR47" s="7"/>
      <c r="BS47" s="7"/>
      <c r="BT47" s="7"/>
      <c r="BU47" s="7"/>
      <c r="BV47" s="7"/>
      <c r="BW47" s="13">
        <f>IF(OR($G$4="MEDIA",$G$4="BASICA - TERCER CICLO"),ROUND(((BR47*$BR$11)+(BS47*$BS$11)+(BT47*$BT$11)+(BU47*$BU$11)+(BV47*$BV$11)*100)/35%,2),ROUND(((BR47*$BR$11)+(BS47*$BS$11)+(BT47*$BT$11)+(BU47*$BU$11)+(BV47*$BP$11)*100)/35%,2))</f>
        <v>0</v>
      </c>
      <c r="BX47" s="7"/>
      <c r="BY47" s="7"/>
      <c r="BZ47" s="7"/>
      <c r="CA47" s="13">
        <f>IF(OR($G$4="MEDIA",$G$4="BASICA - TERCER CICLO"),ROUND(((BX47*$BX$11)+(BY47*$BY$11)+(BZ47*$BZ$11)*100)/30%,2),ROUND(((BX47*$BX$11)+(BY47*$BY$11)+(BZ47*$BZ$11)*100)/30%,2))</f>
        <v>0</v>
      </c>
      <c r="CB47" s="7"/>
      <c r="CC47" s="14">
        <f>IF(OR($G$4="MEDIA",$G$4="BASICA - TERCER CICLO"),ROUND((CB47*$BI$11),2),ROUND((CB47*$BI$11),0))</f>
        <v>0</v>
      </c>
      <c r="CD47" s="28">
        <f>IF(OR($G$4="MEDIA",$G$4="BASICA - TERCER CICLO"),ROUND((BQ47+BW47+CA47+CC47),1),IF($G$4="BASICA",ROUND((BQ47+BW47+CA47+CC47),0),ROUND((BQ47+BW47+CA47+CC47),1)))</f>
        <v>0</v>
      </c>
      <c r="CE47" s="28">
        <f>IF($G$4 = "MEDIA",ROUND(((Y47+AR47+BK47+CD47)/4),0),ROUND(((Y47+AR47+BK47)/3),0))</f>
        <v>0</v>
      </c>
      <c r="CF47" s="20"/>
      <c r="CG47" s="28">
        <f>IF(AND(CE47&lt;5,$G$4="BASICA"),ROUND((CE47+CF47)/2,0),IF(AND(CE47&lt;6,$G$4="MEDIA"),ROUND((CE47+CF47)/2,0),CE47))</f>
        <v>0</v>
      </c>
      <c r="CH47" s="17" t="str">
        <f>IF($G$4="MEDIA",IF(CG47&gt;=6,"Aprobado","Reprobado"),IF(CG47&gt;=5,"Aprobado","Reprobado"))</f>
        <v>Reprobado</v>
      </c>
    </row>
    <row r="48" spans="1:86" customHeight="1" ht="20.25">
      <c r="A48" s="41">
        <v>36</v>
      </c>
      <c r="B48" s="3">
        <v>10282533</v>
      </c>
      <c r="C48" s="3">
        <v>4397</v>
      </c>
      <c r="D48" s="3">
        <v>26983</v>
      </c>
      <c r="E48" s="3" t="s">
        <v>73</v>
      </c>
      <c r="F48" s="42" t="s">
        <v>39</v>
      </c>
      <c r="G48" s="32"/>
      <c r="H48" s="12"/>
      <c r="I48" s="12"/>
      <c r="J48" s="12"/>
      <c r="K48" s="12"/>
      <c r="L48" s="46">
        <f>IF(OR($G$4="MEDIA",$G$4="BASICA - TERCER CICLO"),ROUND(((G48*$G$11)+(H48*$H$11)+(I48*$I$11)+(J48*$J$11)+(K48*$K$11)*100)/35%,2),ROUND((G48*$G$11)+(H48*$H$11)+(I48*$I$11)+(J48*$J$11)+(K48*$K$11),2))</f>
        <v>0</v>
      </c>
      <c r="M48" s="12"/>
      <c r="N48" s="12"/>
      <c r="O48" s="12"/>
      <c r="P48" s="12"/>
      <c r="Q48" s="12"/>
      <c r="R48" s="46">
        <f>IF(OR($G$4="MEDIA",$G$4="BASICA - TERCER CICLO"),ROUND(((M48*$M$11)+(N48*$N$11)+(O48*$O$11)+(P48*$P$11)+(Q48*$Q$11)*100)/35%,2),ROUND((M48*$M$11)+(N48*$N$11)+(O48*$O$11)+(P48*$P$11)+(Q48*$Q$11),2))</f>
        <v>0</v>
      </c>
      <c r="S48" s="12"/>
      <c r="T48" s="12"/>
      <c r="U48" s="12"/>
      <c r="V48" s="13">
        <f>IF(OR($G$4="MEDIA",$G$4="BASICA - TERCER CICLO"),ROUND(((S48*$S$11)+(T48*$T$11)+(U48*$U$11)*100)/30%,2),ROUND(((S48*$S$11)+(T48*$T$11)+(U48*$U$11)*100)/30%,2))</f>
        <v>0</v>
      </c>
      <c r="W48" s="12"/>
      <c r="X48" s="14">
        <f>IF(OR($G$4="MEDIA",$G$4="BASICA - TERCER CICLO"),ROUND((W48*$W$11),2),ROUND((W48*$W$11),0))</f>
        <v>0</v>
      </c>
      <c r="Y48" s="47">
        <f>ROUND((L48+R48+V48)/3,1)</f>
        <v>0</v>
      </c>
      <c r="Z48" s="12"/>
      <c r="AA48" s="12"/>
      <c r="AB48" s="12"/>
      <c r="AC48" s="12"/>
      <c r="AD48" s="12"/>
      <c r="AE48" s="46">
        <f>IF(OR($G$4="MEDIA",$G$4="BASICA - TERCER CICLO"),ROUND(((Z48*$Z$11)+(AA48*$AA$11)+(AB48*$AB$11)+(AC48*$AC$11)+(AD48*$AD$11)*100)/35%,2),ROUND((Z48*$Z$11)+(AA48*$AA$11)+(AB48*$AB$11)+(AC48*$AC$11)+(AD48*$AD$11),2))</f>
        <v>0</v>
      </c>
      <c r="AF48" s="12"/>
      <c r="AG48" s="12"/>
      <c r="AH48" s="12"/>
      <c r="AI48" s="12"/>
      <c r="AJ48" s="12"/>
      <c r="AK48" s="46">
        <f>IF(OR($G$4="MEDIA",$G$4="BASICA - TERCER CICLO"),ROUND(((AF48*$AF$11)+(AG48*$AG$11)+(AH48*$AH$11)+(AI48*$AI$11)+(AJ48*$AJ$11)*100)/35%,2),ROUND((AF48*$AF$11)+(AG48*$AG$11)+(AH48*$AH$11)+(AI48*$AI$11)+(AJ48*$AJ$11),2))</f>
        <v>0</v>
      </c>
      <c r="AL48" s="12"/>
      <c r="AM48" s="12"/>
      <c r="AN48" s="12"/>
      <c r="AO48" s="46">
        <f>IF(OR($G$4="MEDIA",$G$4="BASICA - TERCER CICLO"),ROUND(((AL48*$AL$11)+(AM48*$AM$11)+(AN48*$AN$11)*100)/30%,2),ROUND(((AL48*$AL$11)+(AM48*$AM$11)+(AN48*$AN$11)*100)/30%,2))</f>
        <v>0</v>
      </c>
      <c r="AP48" s="12"/>
      <c r="AQ48" s="14">
        <f>IF(OR($G$4="MEDIA",$G$4="BASICA - TERCER CICLO"),ROUND((AP48*$AP$11),2),ROUND((AP48*$AP$11),0))</f>
        <v>0</v>
      </c>
      <c r="AR48" s="47">
        <f>ROUND((AE48+AK48+AO48)/3,1)</f>
        <v>0</v>
      </c>
      <c r="AS48" s="12"/>
      <c r="AT48" s="12"/>
      <c r="AU48" s="12"/>
      <c r="AV48" s="12"/>
      <c r="AW48" s="12"/>
      <c r="AX48" s="46">
        <f>IF(OR($G$4="MEDIA",$G$4="BASICA - TERCER CICLO"),ROUND(((AS48*$AS$11)+(AT48*$AT$11)+(AU48*$AU$11)+(AV48*$AV$11)+(AW48*$AW$11)*100)/35%,2),ROUND((AS48*$AS$11)+(AT48*$AT$11)+(AU48*$AU$11)+(AV48*$AV$11)+(AW48*$AW$11),2))</f>
        <v>0</v>
      </c>
      <c r="AY48" s="12"/>
      <c r="AZ48" s="12"/>
      <c r="BA48" s="12"/>
      <c r="BB48" s="12"/>
      <c r="BC48" s="12"/>
      <c r="BD48" s="46">
        <f>IF(OR($G$4="MEDIA",$G$4="BASICA - TERCER CICLO"),ROUND(((AY48*$AY$11)+(AZ48*$AZ$11)+(BA48*$BA$11)+(BB48*$BB$11)+(BC48*$BC$11)*100)/35%,2),ROUND((AY48*$AY$11)+(AZ48*$AZ$11)+(BA48*$BA$11)+(BB48*$BB$11)+(BC48*$BC$11),2))</f>
        <v>0</v>
      </c>
      <c r="BE48" s="12"/>
      <c r="BF48" s="12"/>
      <c r="BG48" s="12"/>
      <c r="BH48" s="46">
        <f>IF(OR($G$4="MEDIA",$G$4="BASICA - TERCER CICLO"),ROUND(((BE48*$BE$11)+(BF48*$BF$11)+(BG48*$BG$11)*100)/30%,2),ROUND(((BE48*$BE$11)+(BF48*$BF$11)+(BG48*$BG$11)*100)/30%,2))</f>
        <v>0</v>
      </c>
      <c r="BI48" s="12"/>
      <c r="BJ48" s="14">
        <f>IF(OR($G$4="MEDIA",$G$4="BASICA - TERCER CICLO"),ROUND((BI48*$BI$11),2),ROUND((BI48*$BI$11),0))</f>
        <v>0</v>
      </c>
      <c r="BK48" s="47">
        <f>ROUND((AX48+BD48+BH48)/3,1)</f>
        <v>0</v>
      </c>
      <c r="BL48" s="12"/>
      <c r="BM48" s="12"/>
      <c r="BN48" s="12"/>
      <c r="BO48" s="12"/>
      <c r="BP48" s="12"/>
      <c r="BQ48" s="13">
        <f>IF(OR($G$4="MEDIA",$G$4="BASICA - TERCER CICLO"),ROUND(((BL48*$BL$11)+(BM48*$BM$11)+(BN48*$BN$11)+(BO48*$BO$11)+(BP48*$BP$11)*100)/35%,2),ROUND(((BL48*$BL$11)+(BM48*$BM$11)+(BN48*$BN$11)+(BO48*$BO$11)+(BP48*$BP$11)*100)/35%,2))</f>
        <v>0</v>
      </c>
      <c r="BR48" s="12"/>
      <c r="BS48" s="12"/>
      <c r="BT48" s="12"/>
      <c r="BU48" s="12"/>
      <c r="BV48" s="12"/>
      <c r="BW48" s="13">
        <f>IF(OR($G$4="MEDIA",$G$4="BASICA - TERCER CICLO"),ROUND(((BR48*$BR$11)+(BS48*$BS$11)+(BT48*$BT$11)+(BU48*$BU$11)+(BV48*$BV$11)*100)/35%,2),ROUND(((BR48*$BR$11)+(BS48*$BS$11)+(BT48*$BT$11)+(BU48*$BU$11)+(BV48*$BP$11)*100)/35%,2))</f>
        <v>0</v>
      </c>
      <c r="BX48" s="12"/>
      <c r="BY48" s="12"/>
      <c r="BZ48" s="12"/>
      <c r="CA48" s="13">
        <f>IF(OR($G$4="MEDIA",$G$4="BASICA - TERCER CICLO"),ROUND(((BX48*$BX$11)+(BY48*$BY$11)+(BZ48*$BZ$11)*100)/30%,2),ROUND(((BX48*$BX$11)+(BY48*$BY$11)+(BZ48*$BZ$11)*100)/30%,2))</f>
        <v>0</v>
      </c>
      <c r="CB48" s="12"/>
      <c r="CC48" s="14">
        <f>IF(OR($G$4="MEDIA",$G$4="BASICA - TERCER CICLO"),ROUND((CB48*$BI$11),2),ROUND((CB48*$BI$11),0))</f>
        <v>0</v>
      </c>
      <c r="CD48" s="28">
        <f>IF(OR($G$4="MEDIA",$G$4="BASICA - TERCER CICLO"),ROUND((BQ48+BW48+CA48+CC48),1),IF($G$4="BASICA",ROUND((BQ48+BW48+CA48+CC48),0),ROUND((BQ48+BW48+CA48+CC48),1)))</f>
        <v>0</v>
      </c>
      <c r="CE48" s="28">
        <f>IF($G$4 = "MEDIA",ROUND(((Y48+AR48+BK48+CD48)/4),0),ROUND(((Y48+AR48+BK48)/3),0))</f>
        <v>0</v>
      </c>
      <c r="CF48" s="21"/>
      <c r="CG48" s="28">
        <f>IF(AND(CE48&lt;5,$G$4="BASICA"),ROUND((CE48+CF48)/2,0),IF(AND(CE48&lt;6,$G$4="MEDIA"),ROUND((CE48+CF48)/2,0),CE48))</f>
        <v>0</v>
      </c>
      <c r="CH48" s="16" t="str">
        <f>IF($G$4="MEDIA",IF(CG48&gt;=6,"Aprobado","Reprobado"),IF(CG48&gt;=5,"Aprobado","Reprobado"))</f>
        <v>Reprobado</v>
      </c>
    </row>
    <row r="49" spans="1:86" customHeight="1" ht="20.25">
      <c r="A49" s="39">
        <v>37</v>
      </c>
      <c r="B49" s="2">
        <v>10475165</v>
      </c>
      <c r="C49" s="2">
        <v>5069</v>
      </c>
      <c r="D49" s="2">
        <v>26984</v>
      </c>
      <c r="E49" s="2" t="s">
        <v>74</v>
      </c>
      <c r="F49" s="40" t="s">
        <v>39</v>
      </c>
      <c r="G49" s="31"/>
      <c r="H49" s="7"/>
      <c r="I49" s="7"/>
      <c r="J49" s="7"/>
      <c r="K49" s="7"/>
      <c r="L49" s="46">
        <f>IF(OR($G$4="MEDIA",$G$4="BASICA - TERCER CICLO"),ROUND(((G49*$G$11)+(H49*$H$11)+(I49*$I$11)+(J49*$J$11)+(K49*$K$11)*100)/35%,2),ROUND((G49*$G$11)+(H49*$H$11)+(I49*$I$11)+(J49*$J$11)+(K49*$K$11),2))</f>
        <v>0</v>
      </c>
      <c r="M49" s="7"/>
      <c r="N49" s="7"/>
      <c r="O49" s="7"/>
      <c r="P49" s="7"/>
      <c r="Q49" s="7"/>
      <c r="R49" s="46">
        <f>IF(OR($G$4="MEDIA",$G$4="BASICA - TERCER CICLO"),ROUND(((M49*$M$11)+(N49*$N$11)+(O49*$O$11)+(P49*$P$11)+(Q49*$Q$11)*100)/35%,2),ROUND((M49*$M$11)+(N49*$N$11)+(O49*$O$11)+(P49*$P$11)+(Q49*$Q$11),2))</f>
        <v>0</v>
      </c>
      <c r="S49" s="7"/>
      <c r="T49" s="7"/>
      <c r="U49" s="7"/>
      <c r="V49" s="13">
        <f>IF(OR($G$4="MEDIA",$G$4="BASICA - TERCER CICLO"),ROUND(((S49*$S$11)+(T49*$T$11)+(U49*$U$11)*100)/30%,2),ROUND(((S49*$S$11)+(T49*$T$11)+(U49*$U$11)*100)/30%,2))</f>
        <v>0</v>
      </c>
      <c r="W49" s="7"/>
      <c r="X49" s="14">
        <f>IF(OR($G$4="MEDIA",$G$4="BASICA - TERCER CICLO"),ROUND((W49*$W$11),2),ROUND((W49*$W$11),0))</f>
        <v>0</v>
      </c>
      <c r="Y49" s="47">
        <f>ROUND((L49+R49+V49)/3,1)</f>
        <v>0</v>
      </c>
      <c r="Z49" s="7"/>
      <c r="AA49" s="7"/>
      <c r="AB49" s="7"/>
      <c r="AC49" s="7"/>
      <c r="AD49" s="7"/>
      <c r="AE49" s="46">
        <f>IF(OR($G$4="MEDIA",$G$4="BASICA - TERCER CICLO"),ROUND(((Z49*$Z$11)+(AA49*$AA$11)+(AB49*$AB$11)+(AC49*$AC$11)+(AD49*$AD$11)*100)/35%,2),ROUND((Z49*$Z$11)+(AA49*$AA$11)+(AB49*$AB$11)+(AC49*$AC$11)+(AD49*$AD$11),2))</f>
        <v>0</v>
      </c>
      <c r="AF49" s="7"/>
      <c r="AG49" s="7"/>
      <c r="AH49" s="7"/>
      <c r="AI49" s="7"/>
      <c r="AJ49" s="7"/>
      <c r="AK49" s="46">
        <f>IF(OR($G$4="MEDIA",$G$4="BASICA - TERCER CICLO"),ROUND(((AF49*$AF$11)+(AG49*$AG$11)+(AH49*$AH$11)+(AI49*$AI$11)+(AJ49*$AJ$11)*100)/35%,2),ROUND((AF49*$AF$11)+(AG49*$AG$11)+(AH49*$AH$11)+(AI49*$AI$11)+(AJ49*$AJ$11),2))</f>
        <v>0</v>
      </c>
      <c r="AL49" s="7"/>
      <c r="AM49" s="7"/>
      <c r="AN49" s="7"/>
      <c r="AO49" s="46">
        <f>IF(OR($G$4="MEDIA",$G$4="BASICA - TERCER CICLO"),ROUND(((AL49*$AL$11)+(AM49*$AM$11)+(AN49*$AN$11)*100)/30%,2),ROUND(((AL49*$AL$11)+(AM49*$AM$11)+(AN49*$AN$11)*100)/30%,2))</f>
        <v>0</v>
      </c>
      <c r="AP49" s="7"/>
      <c r="AQ49" s="14">
        <f>IF(OR($G$4="MEDIA",$G$4="BASICA - TERCER CICLO"),ROUND((AP49*$AP$11),2),ROUND((AP49*$AP$11),0))</f>
        <v>0</v>
      </c>
      <c r="AR49" s="47">
        <f>ROUND((AE49+AK49+AO49)/3,1)</f>
        <v>0</v>
      </c>
      <c r="AS49" s="7"/>
      <c r="AT49" s="7"/>
      <c r="AU49" s="7"/>
      <c r="AV49" s="7"/>
      <c r="AW49" s="7"/>
      <c r="AX49" s="46">
        <f>IF(OR($G$4="MEDIA",$G$4="BASICA - TERCER CICLO"),ROUND(((AS49*$AS$11)+(AT49*$AT$11)+(AU49*$AU$11)+(AV49*$AV$11)+(AW49*$AW$11)*100)/35%,2),ROUND((AS49*$AS$11)+(AT49*$AT$11)+(AU49*$AU$11)+(AV49*$AV$11)+(AW49*$AW$11),2))</f>
        <v>0</v>
      </c>
      <c r="AY49" s="7"/>
      <c r="AZ49" s="7"/>
      <c r="BA49" s="7"/>
      <c r="BB49" s="7"/>
      <c r="BC49" s="7"/>
      <c r="BD49" s="46">
        <f>IF(OR($G$4="MEDIA",$G$4="BASICA - TERCER CICLO"),ROUND(((AY49*$AY$11)+(AZ49*$AZ$11)+(BA49*$BA$11)+(BB49*$BB$11)+(BC49*$BC$11)*100)/35%,2),ROUND((AY49*$AY$11)+(AZ49*$AZ$11)+(BA49*$BA$11)+(BB49*$BB$11)+(BC49*$BC$11),2))</f>
        <v>0</v>
      </c>
      <c r="BE49" s="7"/>
      <c r="BF49" s="7"/>
      <c r="BG49" s="7"/>
      <c r="BH49" s="46">
        <f>IF(OR($G$4="MEDIA",$G$4="BASICA - TERCER CICLO"),ROUND(((BE49*$BE$11)+(BF49*$BF$11)+(BG49*$BG$11)*100)/30%,2),ROUND(((BE49*$BE$11)+(BF49*$BF$11)+(BG49*$BG$11)*100)/30%,2))</f>
        <v>0</v>
      </c>
      <c r="BI49" s="7"/>
      <c r="BJ49" s="14">
        <f>IF(OR($G$4="MEDIA",$G$4="BASICA - TERCER CICLO"),ROUND((BI49*$BI$11),2),ROUND((BI49*$BI$11),0))</f>
        <v>0</v>
      </c>
      <c r="BK49" s="47">
        <f>ROUND((AX49+BD49+BH49)/3,1)</f>
        <v>0</v>
      </c>
      <c r="BL49" s="7"/>
      <c r="BM49" s="7"/>
      <c r="BN49" s="7"/>
      <c r="BO49" s="7"/>
      <c r="BP49" s="7"/>
      <c r="BQ49" s="13">
        <f>IF(OR($G$4="MEDIA",$G$4="BASICA - TERCER CICLO"),ROUND(((BL49*$BL$11)+(BM49*$BM$11)+(BN49*$BN$11)+(BO49*$BO$11)+(BP49*$BP$11)*100)/35%,2),ROUND(((BL49*$BL$11)+(BM49*$BM$11)+(BN49*$BN$11)+(BO49*$BO$11)+(BP49*$BP$11)*100)/35%,2))</f>
        <v>0</v>
      </c>
      <c r="BR49" s="7"/>
      <c r="BS49" s="7"/>
      <c r="BT49" s="7"/>
      <c r="BU49" s="7"/>
      <c r="BV49" s="7"/>
      <c r="BW49" s="13">
        <f>IF(OR($G$4="MEDIA",$G$4="BASICA - TERCER CICLO"),ROUND(((BR49*$BR$11)+(BS49*$BS$11)+(BT49*$BT$11)+(BU49*$BU$11)+(BV49*$BV$11)*100)/35%,2),ROUND(((BR49*$BR$11)+(BS49*$BS$11)+(BT49*$BT$11)+(BU49*$BU$11)+(BV49*$BP$11)*100)/35%,2))</f>
        <v>0</v>
      </c>
      <c r="BX49" s="7"/>
      <c r="BY49" s="7"/>
      <c r="BZ49" s="7"/>
      <c r="CA49" s="13">
        <f>IF(OR($G$4="MEDIA",$G$4="BASICA - TERCER CICLO"),ROUND(((BX49*$BX$11)+(BY49*$BY$11)+(BZ49*$BZ$11)*100)/30%,2),ROUND(((BX49*$BX$11)+(BY49*$BY$11)+(BZ49*$BZ$11)*100)/30%,2))</f>
        <v>0</v>
      </c>
      <c r="CB49" s="7"/>
      <c r="CC49" s="14">
        <f>IF(OR($G$4="MEDIA",$G$4="BASICA - TERCER CICLO"),ROUND((CB49*$BI$11),2),ROUND((CB49*$BI$11),0))</f>
        <v>0</v>
      </c>
      <c r="CD49" s="28">
        <f>IF(OR($G$4="MEDIA",$G$4="BASICA - TERCER CICLO"),ROUND((BQ49+BW49+CA49+CC49),1),IF($G$4="BASICA",ROUND((BQ49+BW49+CA49+CC49),0),ROUND((BQ49+BW49+CA49+CC49),1)))</f>
        <v>0</v>
      </c>
      <c r="CE49" s="28">
        <f>IF($G$4 = "MEDIA",ROUND(((Y49+AR49+BK49+CD49)/4),0),ROUND(((Y49+AR49+BK49)/3),0))</f>
        <v>0</v>
      </c>
      <c r="CF49" s="20"/>
      <c r="CG49" s="28">
        <f>IF(AND(CE49&lt;5,$G$4="BASICA"),ROUND((CE49+CF49)/2,0),IF(AND(CE49&lt;6,$G$4="MEDIA"),ROUND((CE49+CF49)/2,0),CE49))</f>
        <v>0</v>
      </c>
      <c r="CH49" s="17" t="str">
        <f>IF($G$4="MEDIA",IF(CG49&gt;=6,"Aprobado","Reprobado"),IF(CG49&gt;=5,"Aprobado","Reprobado"))</f>
        <v>Reprobado</v>
      </c>
    </row>
    <row r="50" spans="1:86" customHeight="1" ht="20.25">
      <c r="A50" s="41">
        <v>38</v>
      </c>
      <c r="B50" s="3">
        <v>10487611</v>
      </c>
      <c r="C50" s="3">
        <v>5617</v>
      </c>
      <c r="D50" s="3">
        <v>26985</v>
      </c>
      <c r="E50" s="3" t="s">
        <v>75</v>
      </c>
      <c r="F50" s="42" t="s">
        <v>37</v>
      </c>
      <c r="G50" s="32"/>
      <c r="H50" s="12"/>
      <c r="I50" s="12"/>
      <c r="J50" s="12"/>
      <c r="K50" s="12"/>
      <c r="L50" s="46">
        <f>IF(OR($G$4="MEDIA",$G$4="BASICA - TERCER CICLO"),ROUND(((G50*$G$11)+(H50*$H$11)+(I50*$I$11)+(J50*$J$11)+(K50*$K$11)*100)/35%,2),ROUND((G50*$G$11)+(H50*$H$11)+(I50*$I$11)+(J50*$J$11)+(K50*$K$11),2))</f>
        <v>0</v>
      </c>
      <c r="M50" s="12"/>
      <c r="N50" s="12"/>
      <c r="O50" s="12"/>
      <c r="P50" s="12"/>
      <c r="Q50" s="12"/>
      <c r="R50" s="46">
        <f>IF(OR($G$4="MEDIA",$G$4="BASICA - TERCER CICLO"),ROUND(((M50*$M$11)+(N50*$N$11)+(O50*$O$11)+(P50*$P$11)+(Q50*$Q$11)*100)/35%,2),ROUND((M50*$M$11)+(N50*$N$11)+(O50*$O$11)+(P50*$P$11)+(Q50*$Q$11),2))</f>
        <v>0</v>
      </c>
      <c r="S50" s="12"/>
      <c r="T50" s="12"/>
      <c r="U50" s="12"/>
      <c r="V50" s="13">
        <f>IF(OR($G$4="MEDIA",$G$4="BASICA - TERCER CICLO"),ROUND(((S50*$S$11)+(T50*$T$11)+(U50*$U$11)*100)/30%,2),ROUND(((S50*$S$11)+(T50*$T$11)+(U50*$U$11)*100)/30%,2))</f>
        <v>0</v>
      </c>
      <c r="W50" s="12"/>
      <c r="X50" s="14">
        <f>IF(OR($G$4="MEDIA",$G$4="BASICA - TERCER CICLO"),ROUND((W50*$W$11),2),ROUND((W50*$W$11),0))</f>
        <v>0</v>
      </c>
      <c r="Y50" s="47">
        <f>ROUND((L50+R50+V50)/3,1)</f>
        <v>0</v>
      </c>
      <c r="Z50" s="12"/>
      <c r="AA50" s="12"/>
      <c r="AB50" s="12"/>
      <c r="AC50" s="12"/>
      <c r="AD50" s="12"/>
      <c r="AE50" s="46">
        <f>IF(OR($G$4="MEDIA",$G$4="BASICA - TERCER CICLO"),ROUND(((Z50*$Z$11)+(AA50*$AA$11)+(AB50*$AB$11)+(AC50*$AC$11)+(AD50*$AD$11)*100)/35%,2),ROUND((Z50*$Z$11)+(AA50*$AA$11)+(AB50*$AB$11)+(AC50*$AC$11)+(AD50*$AD$11),2))</f>
        <v>0</v>
      </c>
      <c r="AF50" s="12"/>
      <c r="AG50" s="12"/>
      <c r="AH50" s="12"/>
      <c r="AI50" s="12"/>
      <c r="AJ50" s="12"/>
      <c r="AK50" s="46">
        <f>IF(OR($G$4="MEDIA",$G$4="BASICA - TERCER CICLO"),ROUND(((AF50*$AF$11)+(AG50*$AG$11)+(AH50*$AH$11)+(AI50*$AI$11)+(AJ50*$AJ$11)*100)/35%,2),ROUND((AF50*$AF$11)+(AG50*$AG$11)+(AH50*$AH$11)+(AI50*$AI$11)+(AJ50*$AJ$11),2))</f>
        <v>0</v>
      </c>
      <c r="AL50" s="12"/>
      <c r="AM50" s="12"/>
      <c r="AN50" s="12"/>
      <c r="AO50" s="46">
        <f>IF(OR($G$4="MEDIA",$G$4="BASICA - TERCER CICLO"),ROUND(((AL50*$AL$11)+(AM50*$AM$11)+(AN50*$AN$11)*100)/30%,2),ROUND(((AL50*$AL$11)+(AM50*$AM$11)+(AN50*$AN$11)*100)/30%,2))</f>
        <v>0</v>
      </c>
      <c r="AP50" s="12"/>
      <c r="AQ50" s="14">
        <f>IF(OR($G$4="MEDIA",$G$4="BASICA - TERCER CICLO"),ROUND((AP50*$AP$11),2),ROUND((AP50*$AP$11),0))</f>
        <v>0</v>
      </c>
      <c r="AR50" s="47">
        <f>ROUND((AE50+AK50+AO50)/3,1)</f>
        <v>0</v>
      </c>
      <c r="AS50" s="12"/>
      <c r="AT50" s="12"/>
      <c r="AU50" s="12"/>
      <c r="AV50" s="12"/>
      <c r="AW50" s="12"/>
      <c r="AX50" s="46">
        <f>IF(OR($G$4="MEDIA",$G$4="BASICA - TERCER CICLO"),ROUND(((AS50*$AS$11)+(AT50*$AT$11)+(AU50*$AU$11)+(AV50*$AV$11)+(AW50*$AW$11)*100)/35%,2),ROUND((AS50*$AS$11)+(AT50*$AT$11)+(AU50*$AU$11)+(AV50*$AV$11)+(AW50*$AW$11),2))</f>
        <v>0</v>
      </c>
      <c r="AY50" s="12"/>
      <c r="AZ50" s="12"/>
      <c r="BA50" s="12"/>
      <c r="BB50" s="12"/>
      <c r="BC50" s="12"/>
      <c r="BD50" s="46">
        <f>IF(OR($G$4="MEDIA",$G$4="BASICA - TERCER CICLO"),ROUND(((AY50*$AY$11)+(AZ50*$AZ$11)+(BA50*$BA$11)+(BB50*$BB$11)+(BC50*$BC$11)*100)/35%,2),ROUND((AY50*$AY$11)+(AZ50*$AZ$11)+(BA50*$BA$11)+(BB50*$BB$11)+(BC50*$BC$11),2))</f>
        <v>0</v>
      </c>
      <c r="BE50" s="12"/>
      <c r="BF50" s="12"/>
      <c r="BG50" s="12"/>
      <c r="BH50" s="46">
        <f>IF(OR($G$4="MEDIA",$G$4="BASICA - TERCER CICLO"),ROUND(((BE50*$BE$11)+(BF50*$BF$11)+(BG50*$BG$11)*100)/30%,2),ROUND(((BE50*$BE$11)+(BF50*$BF$11)+(BG50*$BG$11)*100)/30%,2))</f>
        <v>0</v>
      </c>
      <c r="BI50" s="12"/>
      <c r="BJ50" s="14">
        <f>IF(OR($G$4="MEDIA",$G$4="BASICA - TERCER CICLO"),ROUND((BI50*$BI$11),2),ROUND((BI50*$BI$11),0))</f>
        <v>0</v>
      </c>
      <c r="BK50" s="47">
        <f>ROUND((AX50+BD50+BH50)/3,1)</f>
        <v>0</v>
      </c>
      <c r="BL50" s="12"/>
      <c r="BM50" s="12"/>
      <c r="BN50" s="12"/>
      <c r="BO50" s="12"/>
      <c r="BP50" s="12"/>
      <c r="BQ50" s="13">
        <f>IF(OR($G$4="MEDIA",$G$4="BASICA - TERCER CICLO"),ROUND(((BL50*$BL$11)+(BM50*$BM$11)+(BN50*$BN$11)+(BO50*$BO$11)+(BP50*$BP$11)*100)/35%,2),ROUND(((BL50*$BL$11)+(BM50*$BM$11)+(BN50*$BN$11)+(BO50*$BO$11)+(BP50*$BP$11)*100)/35%,2))</f>
        <v>0</v>
      </c>
      <c r="BR50" s="12"/>
      <c r="BS50" s="12"/>
      <c r="BT50" s="12"/>
      <c r="BU50" s="12"/>
      <c r="BV50" s="12"/>
      <c r="BW50" s="13">
        <f>IF(OR($G$4="MEDIA",$G$4="BASICA - TERCER CICLO"),ROUND(((BR50*$BR$11)+(BS50*$BS$11)+(BT50*$BT$11)+(BU50*$BU$11)+(BV50*$BV$11)*100)/35%,2),ROUND(((BR50*$BR$11)+(BS50*$BS$11)+(BT50*$BT$11)+(BU50*$BU$11)+(BV50*$BP$11)*100)/35%,2))</f>
        <v>0</v>
      </c>
      <c r="BX50" s="12"/>
      <c r="BY50" s="12"/>
      <c r="BZ50" s="12"/>
      <c r="CA50" s="13">
        <f>IF(OR($G$4="MEDIA",$G$4="BASICA - TERCER CICLO"),ROUND(((BX50*$BX$11)+(BY50*$BY$11)+(BZ50*$BZ$11)*100)/30%,2),ROUND(((BX50*$BX$11)+(BY50*$BY$11)+(BZ50*$BZ$11)*100)/30%,2))</f>
        <v>0</v>
      </c>
      <c r="CB50" s="12"/>
      <c r="CC50" s="14">
        <f>IF(OR($G$4="MEDIA",$G$4="BASICA - TERCER CICLO"),ROUND((CB50*$BI$11),2),ROUND((CB50*$BI$11),0))</f>
        <v>0</v>
      </c>
      <c r="CD50" s="28">
        <f>IF(OR($G$4="MEDIA",$G$4="BASICA - TERCER CICLO"),ROUND((BQ50+BW50+CA50+CC50),1),IF($G$4="BASICA",ROUND((BQ50+BW50+CA50+CC50),0),ROUND((BQ50+BW50+CA50+CC50),1)))</f>
        <v>0</v>
      </c>
      <c r="CE50" s="28">
        <f>IF($G$4 = "MEDIA",ROUND(((Y50+AR50+BK50+CD50)/4),0),ROUND(((Y50+AR50+BK50)/3),0))</f>
        <v>0</v>
      </c>
      <c r="CF50" s="21"/>
      <c r="CG50" s="28">
        <f>IF(AND(CE50&lt;5,$G$4="BASICA"),ROUND((CE50+CF50)/2,0),IF(AND(CE50&lt;6,$G$4="MEDIA"),ROUND((CE50+CF50)/2,0),CE50))</f>
        <v>0</v>
      </c>
      <c r="CH50" s="16" t="str">
        <f>IF($G$4="MEDIA",IF(CG50&gt;=6,"Aprobado","Reprobado"),IF(CG50&gt;=5,"Aprobado","Reprobado"))</f>
        <v>Reprobado</v>
      </c>
    </row>
    <row r="51" spans="1:86" customHeight="1" ht="20.25">
      <c r="A51" s="39">
        <v>39</v>
      </c>
      <c r="B51" s="2">
        <v>10493291</v>
      </c>
      <c r="C51" s="2">
        <v>5054</v>
      </c>
      <c r="D51" s="2">
        <v>26986</v>
      </c>
      <c r="E51" s="2" t="s">
        <v>76</v>
      </c>
      <c r="F51" s="40" t="s">
        <v>39</v>
      </c>
      <c r="G51" s="31"/>
      <c r="H51" s="7"/>
      <c r="I51" s="7"/>
      <c r="J51" s="7"/>
      <c r="K51" s="7"/>
      <c r="L51" s="46">
        <f>IF(OR($G$4="MEDIA",$G$4="BASICA - TERCER CICLO"),ROUND(((G51*$G$11)+(H51*$H$11)+(I51*$I$11)+(J51*$J$11)+(K51*$K$11)*100)/35%,2),ROUND((G51*$G$11)+(H51*$H$11)+(I51*$I$11)+(J51*$J$11)+(K51*$K$11),2))</f>
        <v>0</v>
      </c>
      <c r="M51" s="7"/>
      <c r="N51" s="7"/>
      <c r="O51" s="7"/>
      <c r="P51" s="7"/>
      <c r="Q51" s="7"/>
      <c r="R51" s="46">
        <f>IF(OR($G$4="MEDIA",$G$4="BASICA - TERCER CICLO"),ROUND(((M51*$M$11)+(N51*$N$11)+(O51*$O$11)+(P51*$P$11)+(Q51*$Q$11)*100)/35%,2),ROUND((M51*$M$11)+(N51*$N$11)+(O51*$O$11)+(P51*$P$11)+(Q51*$Q$11),2))</f>
        <v>0</v>
      </c>
      <c r="S51" s="7"/>
      <c r="T51" s="7"/>
      <c r="U51" s="7"/>
      <c r="V51" s="13">
        <f>IF(OR($G$4="MEDIA",$G$4="BASICA - TERCER CICLO"),ROUND(((S51*$S$11)+(T51*$T$11)+(U51*$U$11)*100)/30%,2),ROUND(((S51*$S$11)+(T51*$T$11)+(U51*$U$11)*100)/30%,2))</f>
        <v>0</v>
      </c>
      <c r="W51" s="7"/>
      <c r="X51" s="14">
        <f>IF(OR($G$4="MEDIA",$G$4="BASICA - TERCER CICLO"),ROUND((W51*$W$11),2),ROUND((W51*$W$11),0))</f>
        <v>0</v>
      </c>
      <c r="Y51" s="47">
        <f>ROUND((L51+R51+V51)/3,1)</f>
        <v>0</v>
      </c>
      <c r="Z51" s="7"/>
      <c r="AA51" s="7"/>
      <c r="AB51" s="7"/>
      <c r="AC51" s="7"/>
      <c r="AD51" s="7"/>
      <c r="AE51" s="46">
        <f>IF(OR($G$4="MEDIA",$G$4="BASICA - TERCER CICLO"),ROUND(((Z51*$Z$11)+(AA51*$AA$11)+(AB51*$AB$11)+(AC51*$AC$11)+(AD51*$AD$11)*100)/35%,2),ROUND((Z51*$Z$11)+(AA51*$AA$11)+(AB51*$AB$11)+(AC51*$AC$11)+(AD51*$AD$11),2))</f>
        <v>0</v>
      </c>
      <c r="AF51" s="7"/>
      <c r="AG51" s="7"/>
      <c r="AH51" s="7"/>
      <c r="AI51" s="7"/>
      <c r="AJ51" s="7"/>
      <c r="AK51" s="46">
        <f>IF(OR($G$4="MEDIA",$G$4="BASICA - TERCER CICLO"),ROUND(((AF51*$AF$11)+(AG51*$AG$11)+(AH51*$AH$11)+(AI51*$AI$11)+(AJ51*$AJ$11)*100)/35%,2),ROUND((AF51*$AF$11)+(AG51*$AG$11)+(AH51*$AH$11)+(AI51*$AI$11)+(AJ51*$AJ$11),2))</f>
        <v>0</v>
      </c>
      <c r="AL51" s="7"/>
      <c r="AM51" s="7"/>
      <c r="AN51" s="7"/>
      <c r="AO51" s="46">
        <f>IF(OR($G$4="MEDIA",$G$4="BASICA - TERCER CICLO"),ROUND(((AL51*$AL$11)+(AM51*$AM$11)+(AN51*$AN$11)*100)/30%,2),ROUND(((AL51*$AL$11)+(AM51*$AM$11)+(AN51*$AN$11)*100)/30%,2))</f>
        <v>0</v>
      </c>
      <c r="AP51" s="7"/>
      <c r="AQ51" s="14">
        <f>IF(OR($G$4="MEDIA",$G$4="BASICA - TERCER CICLO"),ROUND((AP51*$AP$11),2),ROUND((AP51*$AP$11),0))</f>
        <v>0</v>
      </c>
      <c r="AR51" s="47">
        <f>ROUND((AE51+AK51+AO51)/3,1)</f>
        <v>0</v>
      </c>
      <c r="AS51" s="7"/>
      <c r="AT51" s="7"/>
      <c r="AU51" s="7"/>
      <c r="AV51" s="7"/>
      <c r="AW51" s="7"/>
      <c r="AX51" s="46">
        <f>IF(OR($G$4="MEDIA",$G$4="BASICA - TERCER CICLO"),ROUND(((AS51*$AS$11)+(AT51*$AT$11)+(AU51*$AU$11)+(AV51*$AV$11)+(AW51*$AW$11)*100)/35%,2),ROUND((AS51*$AS$11)+(AT51*$AT$11)+(AU51*$AU$11)+(AV51*$AV$11)+(AW51*$AW$11),2))</f>
        <v>0</v>
      </c>
      <c r="AY51" s="7"/>
      <c r="AZ51" s="7"/>
      <c r="BA51" s="7"/>
      <c r="BB51" s="7"/>
      <c r="BC51" s="7"/>
      <c r="BD51" s="46">
        <f>IF(OR($G$4="MEDIA",$G$4="BASICA - TERCER CICLO"),ROUND(((AY51*$AY$11)+(AZ51*$AZ$11)+(BA51*$BA$11)+(BB51*$BB$11)+(BC51*$BC$11)*100)/35%,2),ROUND((AY51*$AY$11)+(AZ51*$AZ$11)+(BA51*$BA$11)+(BB51*$BB$11)+(BC51*$BC$11),2))</f>
        <v>0</v>
      </c>
      <c r="BE51" s="7"/>
      <c r="BF51" s="7"/>
      <c r="BG51" s="7"/>
      <c r="BH51" s="46">
        <f>IF(OR($G$4="MEDIA",$G$4="BASICA - TERCER CICLO"),ROUND(((BE51*$BE$11)+(BF51*$BF$11)+(BG51*$BG$11)*100)/30%,2),ROUND(((BE51*$BE$11)+(BF51*$BF$11)+(BG51*$BG$11)*100)/30%,2))</f>
        <v>0</v>
      </c>
      <c r="BI51" s="7"/>
      <c r="BJ51" s="14">
        <f>IF(OR($G$4="MEDIA",$G$4="BASICA - TERCER CICLO"),ROUND((BI51*$BI$11),2),ROUND((BI51*$BI$11),0))</f>
        <v>0</v>
      </c>
      <c r="BK51" s="47">
        <f>ROUND((AX51+BD51+BH51)/3,1)</f>
        <v>0</v>
      </c>
      <c r="BL51" s="7"/>
      <c r="BM51" s="7"/>
      <c r="BN51" s="7"/>
      <c r="BO51" s="7"/>
      <c r="BP51" s="7"/>
      <c r="BQ51" s="13">
        <f>IF(OR($G$4="MEDIA",$G$4="BASICA - TERCER CICLO"),ROUND(((BL51*$BL$11)+(BM51*$BM$11)+(BN51*$BN$11)+(BO51*$BO$11)+(BP51*$BP$11)*100)/35%,2),ROUND(((BL51*$BL$11)+(BM51*$BM$11)+(BN51*$BN$11)+(BO51*$BO$11)+(BP51*$BP$11)*100)/35%,2))</f>
        <v>0</v>
      </c>
      <c r="BR51" s="7"/>
      <c r="BS51" s="7"/>
      <c r="BT51" s="7"/>
      <c r="BU51" s="7"/>
      <c r="BV51" s="7"/>
      <c r="BW51" s="13">
        <f>IF(OR($G$4="MEDIA",$G$4="BASICA - TERCER CICLO"),ROUND(((BR51*$BR$11)+(BS51*$BS$11)+(BT51*$BT$11)+(BU51*$BU$11)+(BV51*$BV$11)*100)/35%,2),ROUND(((BR51*$BR$11)+(BS51*$BS$11)+(BT51*$BT$11)+(BU51*$BU$11)+(BV51*$BP$11)*100)/35%,2))</f>
        <v>0</v>
      </c>
      <c r="BX51" s="7"/>
      <c r="BY51" s="7"/>
      <c r="BZ51" s="7"/>
      <c r="CA51" s="13">
        <f>IF(OR($G$4="MEDIA",$G$4="BASICA - TERCER CICLO"),ROUND(((BX51*$BX$11)+(BY51*$BY$11)+(BZ51*$BZ$11)*100)/30%,2),ROUND(((BX51*$BX$11)+(BY51*$BY$11)+(BZ51*$BZ$11)*100)/30%,2))</f>
        <v>0</v>
      </c>
      <c r="CB51" s="7"/>
      <c r="CC51" s="14">
        <f>IF(OR($G$4="MEDIA",$G$4="BASICA - TERCER CICLO"),ROUND((CB51*$BI$11),2),ROUND((CB51*$BI$11),0))</f>
        <v>0</v>
      </c>
      <c r="CD51" s="28">
        <f>IF(OR($G$4="MEDIA",$G$4="BASICA - TERCER CICLO"),ROUND((BQ51+BW51+CA51+CC51),1),IF($G$4="BASICA",ROUND((BQ51+BW51+CA51+CC51),0),ROUND((BQ51+BW51+CA51+CC51),1)))</f>
        <v>0</v>
      </c>
      <c r="CE51" s="28">
        <f>IF($G$4 = "MEDIA",ROUND(((Y51+AR51+BK51+CD51)/4),0),ROUND(((Y51+AR51+BK51)/3),0))</f>
        <v>0</v>
      </c>
      <c r="CF51" s="20"/>
      <c r="CG51" s="28">
        <f>IF(AND(CE51&lt;5,$G$4="BASICA"),ROUND((CE51+CF51)/2,0),IF(AND(CE51&lt;6,$G$4="MEDIA"),ROUND((CE51+CF51)/2,0),CE51))</f>
        <v>0</v>
      </c>
      <c r="CH51" s="17" t="str">
        <f>IF($G$4="MEDIA",IF(CG51&gt;=6,"Aprobado","Reprobado"),IF(CG51&gt;=5,"Aprobado","Reprobado"))</f>
        <v>Reprobado</v>
      </c>
    </row>
    <row r="52" spans="1:86" customHeight="1" ht="20.25">
      <c r="A52" s="41">
        <v>40</v>
      </c>
      <c r="B52" s="3">
        <v>10123153</v>
      </c>
      <c r="C52" s="3">
        <v>4648</v>
      </c>
      <c r="D52" s="3">
        <v>26987</v>
      </c>
      <c r="E52" s="3" t="s">
        <v>77</v>
      </c>
      <c r="F52" s="42" t="s">
        <v>39</v>
      </c>
      <c r="G52" s="32"/>
      <c r="H52" s="12"/>
      <c r="I52" s="12"/>
      <c r="J52" s="12"/>
      <c r="K52" s="12"/>
      <c r="L52" s="46">
        <f>IF(OR($G$4="MEDIA",$G$4="BASICA - TERCER CICLO"),ROUND(((G52*$G$11)+(H52*$H$11)+(I52*$I$11)+(J52*$J$11)+(K52*$K$11)*100)/35%,2),ROUND((G52*$G$11)+(H52*$H$11)+(I52*$I$11)+(J52*$J$11)+(K52*$K$11),2))</f>
        <v>0</v>
      </c>
      <c r="M52" s="12"/>
      <c r="N52" s="12"/>
      <c r="O52" s="12"/>
      <c r="P52" s="12"/>
      <c r="Q52" s="12"/>
      <c r="R52" s="46">
        <f>IF(OR($G$4="MEDIA",$G$4="BASICA - TERCER CICLO"),ROUND(((M52*$M$11)+(N52*$N$11)+(O52*$O$11)+(P52*$P$11)+(Q52*$Q$11)*100)/35%,2),ROUND((M52*$M$11)+(N52*$N$11)+(O52*$O$11)+(P52*$P$11)+(Q52*$Q$11),2))</f>
        <v>0</v>
      </c>
      <c r="S52" s="12"/>
      <c r="T52" s="12"/>
      <c r="U52" s="12"/>
      <c r="V52" s="13">
        <f>IF(OR($G$4="MEDIA",$G$4="BASICA - TERCER CICLO"),ROUND(((S52*$S$11)+(T52*$T$11)+(U52*$U$11)*100)/30%,2),ROUND(((S52*$S$11)+(T52*$T$11)+(U52*$U$11)*100)/30%,2))</f>
        <v>0</v>
      </c>
      <c r="W52" s="12"/>
      <c r="X52" s="14">
        <f>IF(OR($G$4="MEDIA",$G$4="BASICA - TERCER CICLO"),ROUND((W52*$W$11),2),ROUND((W52*$W$11),0))</f>
        <v>0</v>
      </c>
      <c r="Y52" s="47">
        <f>ROUND((L52+R52+V52)/3,1)</f>
        <v>0</v>
      </c>
      <c r="Z52" s="12"/>
      <c r="AA52" s="12"/>
      <c r="AB52" s="12"/>
      <c r="AC52" s="12"/>
      <c r="AD52" s="12"/>
      <c r="AE52" s="46">
        <f>IF(OR($G$4="MEDIA",$G$4="BASICA - TERCER CICLO"),ROUND(((Z52*$Z$11)+(AA52*$AA$11)+(AB52*$AB$11)+(AC52*$AC$11)+(AD52*$AD$11)*100)/35%,2),ROUND((Z52*$Z$11)+(AA52*$AA$11)+(AB52*$AB$11)+(AC52*$AC$11)+(AD52*$AD$11),2))</f>
        <v>0</v>
      </c>
      <c r="AF52" s="12"/>
      <c r="AG52" s="12"/>
      <c r="AH52" s="12"/>
      <c r="AI52" s="12"/>
      <c r="AJ52" s="12"/>
      <c r="AK52" s="46">
        <f>IF(OR($G$4="MEDIA",$G$4="BASICA - TERCER CICLO"),ROUND(((AF52*$AF$11)+(AG52*$AG$11)+(AH52*$AH$11)+(AI52*$AI$11)+(AJ52*$AJ$11)*100)/35%,2),ROUND((AF52*$AF$11)+(AG52*$AG$11)+(AH52*$AH$11)+(AI52*$AI$11)+(AJ52*$AJ$11),2))</f>
        <v>0</v>
      </c>
      <c r="AL52" s="12"/>
      <c r="AM52" s="12"/>
      <c r="AN52" s="12"/>
      <c r="AO52" s="46">
        <f>IF(OR($G$4="MEDIA",$G$4="BASICA - TERCER CICLO"),ROUND(((AL52*$AL$11)+(AM52*$AM$11)+(AN52*$AN$11)*100)/30%,2),ROUND(((AL52*$AL$11)+(AM52*$AM$11)+(AN52*$AN$11)*100)/30%,2))</f>
        <v>0</v>
      </c>
      <c r="AP52" s="12"/>
      <c r="AQ52" s="14">
        <f>IF(OR($G$4="MEDIA",$G$4="BASICA - TERCER CICLO"),ROUND((AP52*$AP$11),2),ROUND((AP52*$AP$11),0))</f>
        <v>0</v>
      </c>
      <c r="AR52" s="47">
        <f>ROUND((AE52+AK52+AO52)/3,1)</f>
        <v>0</v>
      </c>
      <c r="AS52" s="12"/>
      <c r="AT52" s="12"/>
      <c r="AU52" s="12"/>
      <c r="AV52" s="12"/>
      <c r="AW52" s="12"/>
      <c r="AX52" s="46">
        <f>IF(OR($G$4="MEDIA",$G$4="BASICA - TERCER CICLO"),ROUND(((AS52*$AS$11)+(AT52*$AT$11)+(AU52*$AU$11)+(AV52*$AV$11)+(AW52*$AW$11)*100)/35%,2),ROUND((AS52*$AS$11)+(AT52*$AT$11)+(AU52*$AU$11)+(AV52*$AV$11)+(AW52*$AW$11),2))</f>
        <v>0</v>
      </c>
      <c r="AY52" s="12"/>
      <c r="AZ52" s="12"/>
      <c r="BA52" s="12"/>
      <c r="BB52" s="12"/>
      <c r="BC52" s="12"/>
      <c r="BD52" s="46">
        <f>IF(OR($G$4="MEDIA",$G$4="BASICA - TERCER CICLO"),ROUND(((AY52*$AY$11)+(AZ52*$AZ$11)+(BA52*$BA$11)+(BB52*$BB$11)+(BC52*$BC$11)*100)/35%,2),ROUND((AY52*$AY$11)+(AZ52*$AZ$11)+(BA52*$BA$11)+(BB52*$BB$11)+(BC52*$BC$11),2))</f>
        <v>0</v>
      </c>
      <c r="BE52" s="12"/>
      <c r="BF52" s="12"/>
      <c r="BG52" s="12"/>
      <c r="BH52" s="46">
        <f>IF(OR($G$4="MEDIA",$G$4="BASICA - TERCER CICLO"),ROUND(((BE52*$BE$11)+(BF52*$BF$11)+(BG52*$BG$11)*100)/30%,2),ROUND(((BE52*$BE$11)+(BF52*$BF$11)+(BG52*$BG$11)*100)/30%,2))</f>
        <v>0</v>
      </c>
      <c r="BI52" s="12"/>
      <c r="BJ52" s="14">
        <f>IF(OR($G$4="MEDIA",$G$4="BASICA - TERCER CICLO"),ROUND((BI52*$BI$11),2),ROUND((BI52*$BI$11),0))</f>
        <v>0</v>
      </c>
      <c r="BK52" s="47">
        <f>ROUND((AX52+BD52+BH52)/3,1)</f>
        <v>0</v>
      </c>
      <c r="BL52" s="12"/>
      <c r="BM52" s="12"/>
      <c r="BN52" s="12"/>
      <c r="BO52" s="12"/>
      <c r="BP52" s="12"/>
      <c r="BQ52" s="13">
        <f>IF(OR($G$4="MEDIA",$G$4="BASICA - TERCER CICLO"),ROUND(((BL52*$BL$11)+(BM52*$BM$11)+(BN52*$BN$11)+(BO52*$BO$11)+(BP52*$BP$11)*100)/35%,2),ROUND(((BL52*$BL$11)+(BM52*$BM$11)+(BN52*$BN$11)+(BO52*$BO$11)+(BP52*$BP$11)*100)/35%,2))</f>
        <v>0</v>
      </c>
      <c r="BR52" s="12"/>
      <c r="BS52" s="12"/>
      <c r="BT52" s="12"/>
      <c r="BU52" s="12"/>
      <c r="BV52" s="12"/>
      <c r="BW52" s="13">
        <f>IF(OR($G$4="MEDIA",$G$4="BASICA - TERCER CICLO"),ROUND(((BR52*$BR$11)+(BS52*$BS$11)+(BT52*$BT$11)+(BU52*$BU$11)+(BV52*$BV$11)*100)/35%,2),ROUND(((BR52*$BR$11)+(BS52*$BS$11)+(BT52*$BT$11)+(BU52*$BU$11)+(BV52*$BP$11)*100)/35%,2))</f>
        <v>0</v>
      </c>
      <c r="BX52" s="12"/>
      <c r="BY52" s="12"/>
      <c r="BZ52" s="12"/>
      <c r="CA52" s="13">
        <f>IF(OR($G$4="MEDIA",$G$4="BASICA - TERCER CICLO"),ROUND(((BX52*$BX$11)+(BY52*$BY$11)+(BZ52*$BZ$11)*100)/30%,2),ROUND(((BX52*$BX$11)+(BY52*$BY$11)+(BZ52*$BZ$11)*100)/30%,2))</f>
        <v>0</v>
      </c>
      <c r="CB52" s="12"/>
      <c r="CC52" s="14">
        <f>IF(OR($G$4="MEDIA",$G$4="BASICA - TERCER CICLO"),ROUND((CB52*$BI$11),2),ROUND((CB52*$BI$11),0))</f>
        <v>0</v>
      </c>
      <c r="CD52" s="28">
        <f>IF(OR($G$4="MEDIA",$G$4="BASICA - TERCER CICLO"),ROUND((BQ52+BW52+CA52+CC52),1),IF($G$4="BASICA",ROUND((BQ52+BW52+CA52+CC52),0),ROUND((BQ52+BW52+CA52+CC52),1)))</f>
        <v>0</v>
      </c>
      <c r="CE52" s="28">
        <f>IF($G$4 = "MEDIA",ROUND(((Y52+AR52+BK52+CD52)/4),0),ROUND(((Y52+AR52+BK52)/3),0))</f>
        <v>0</v>
      </c>
      <c r="CF52" s="21"/>
      <c r="CG52" s="28">
        <f>IF(AND(CE52&lt;5,$G$4="BASICA"),ROUND((CE52+CF52)/2,0),IF(AND(CE52&lt;6,$G$4="MEDIA"),ROUND((CE52+CF52)/2,0),CE52))</f>
        <v>0</v>
      </c>
      <c r="CH52" s="16" t="str">
        <f>IF($G$4="MEDIA",IF(CG52&gt;=6,"Aprobado","Reprobado"),IF(CG52&gt;=5,"Aprobado","Reprobado"))</f>
        <v>Reprobado</v>
      </c>
    </row>
    <row r="53" spans="1:86" customHeight="1" ht="20.25">
      <c r="A53" s="39">
        <v>41</v>
      </c>
      <c r="B53" s="2">
        <v>10522945</v>
      </c>
      <c r="C53" s="2">
        <v>4684</v>
      </c>
      <c r="D53" s="2">
        <v>26988</v>
      </c>
      <c r="E53" s="2" t="s">
        <v>78</v>
      </c>
      <c r="F53" s="40" t="s">
        <v>37</v>
      </c>
      <c r="G53" s="31"/>
      <c r="H53" s="7"/>
      <c r="I53" s="7"/>
      <c r="J53" s="7"/>
      <c r="K53" s="7"/>
      <c r="L53" s="46">
        <f>IF(OR($G$4="MEDIA",$G$4="BASICA - TERCER CICLO"),ROUND(((G53*$G$11)+(H53*$H$11)+(I53*$I$11)+(J53*$J$11)+(K53*$K$11)*100)/35%,2),ROUND((G53*$G$11)+(H53*$H$11)+(I53*$I$11)+(J53*$J$11)+(K53*$K$11),2))</f>
        <v>0</v>
      </c>
      <c r="M53" s="7"/>
      <c r="N53" s="7"/>
      <c r="O53" s="7"/>
      <c r="P53" s="7"/>
      <c r="Q53" s="7"/>
      <c r="R53" s="46">
        <f>IF(OR($G$4="MEDIA",$G$4="BASICA - TERCER CICLO"),ROUND(((M53*$M$11)+(N53*$N$11)+(O53*$O$11)+(P53*$P$11)+(Q53*$Q$11)*100)/35%,2),ROUND((M53*$M$11)+(N53*$N$11)+(O53*$O$11)+(P53*$P$11)+(Q53*$Q$11),2))</f>
        <v>0</v>
      </c>
      <c r="S53" s="7"/>
      <c r="T53" s="7"/>
      <c r="U53" s="7"/>
      <c r="V53" s="13">
        <f>IF(OR($G$4="MEDIA",$G$4="BASICA - TERCER CICLO"),ROUND(((S53*$S$11)+(T53*$T$11)+(U53*$U$11)*100)/30%,2),ROUND(((S53*$S$11)+(T53*$T$11)+(U53*$U$11)*100)/30%,2))</f>
        <v>0</v>
      </c>
      <c r="W53" s="7"/>
      <c r="X53" s="14">
        <f>IF(OR($G$4="MEDIA",$G$4="BASICA - TERCER CICLO"),ROUND((W53*$W$11),2),ROUND((W53*$W$11),0))</f>
        <v>0</v>
      </c>
      <c r="Y53" s="47">
        <f>ROUND((L53+R53+V53)/3,1)</f>
        <v>0</v>
      </c>
      <c r="Z53" s="7"/>
      <c r="AA53" s="7"/>
      <c r="AB53" s="7"/>
      <c r="AC53" s="7"/>
      <c r="AD53" s="7"/>
      <c r="AE53" s="46">
        <f>IF(OR($G$4="MEDIA",$G$4="BASICA - TERCER CICLO"),ROUND(((Z53*$Z$11)+(AA53*$AA$11)+(AB53*$AB$11)+(AC53*$AC$11)+(AD53*$AD$11)*100)/35%,2),ROUND((Z53*$Z$11)+(AA53*$AA$11)+(AB53*$AB$11)+(AC53*$AC$11)+(AD53*$AD$11),2))</f>
        <v>0</v>
      </c>
      <c r="AF53" s="7"/>
      <c r="AG53" s="7"/>
      <c r="AH53" s="7"/>
      <c r="AI53" s="7"/>
      <c r="AJ53" s="7"/>
      <c r="AK53" s="46">
        <f>IF(OR($G$4="MEDIA",$G$4="BASICA - TERCER CICLO"),ROUND(((AF53*$AF$11)+(AG53*$AG$11)+(AH53*$AH$11)+(AI53*$AI$11)+(AJ53*$AJ$11)*100)/35%,2),ROUND((AF53*$AF$11)+(AG53*$AG$11)+(AH53*$AH$11)+(AI53*$AI$11)+(AJ53*$AJ$11),2))</f>
        <v>0</v>
      </c>
      <c r="AL53" s="7"/>
      <c r="AM53" s="7"/>
      <c r="AN53" s="7"/>
      <c r="AO53" s="46">
        <f>IF(OR($G$4="MEDIA",$G$4="BASICA - TERCER CICLO"),ROUND(((AL53*$AL$11)+(AM53*$AM$11)+(AN53*$AN$11)*100)/30%,2),ROUND(((AL53*$AL$11)+(AM53*$AM$11)+(AN53*$AN$11)*100)/30%,2))</f>
        <v>0</v>
      </c>
      <c r="AP53" s="7"/>
      <c r="AQ53" s="14">
        <f>IF(OR($G$4="MEDIA",$G$4="BASICA - TERCER CICLO"),ROUND((AP53*$AP$11),2),ROUND((AP53*$AP$11),0))</f>
        <v>0</v>
      </c>
      <c r="AR53" s="47">
        <f>ROUND((AE53+AK53+AO53)/3,1)</f>
        <v>0</v>
      </c>
      <c r="AS53" s="7"/>
      <c r="AT53" s="7"/>
      <c r="AU53" s="7"/>
      <c r="AV53" s="7"/>
      <c r="AW53" s="7"/>
      <c r="AX53" s="46">
        <f>IF(OR($G$4="MEDIA",$G$4="BASICA - TERCER CICLO"),ROUND(((AS53*$AS$11)+(AT53*$AT$11)+(AU53*$AU$11)+(AV53*$AV$11)+(AW53*$AW$11)*100)/35%,2),ROUND((AS53*$AS$11)+(AT53*$AT$11)+(AU53*$AU$11)+(AV53*$AV$11)+(AW53*$AW$11),2))</f>
        <v>0</v>
      </c>
      <c r="AY53" s="7"/>
      <c r="AZ53" s="7"/>
      <c r="BA53" s="7"/>
      <c r="BB53" s="7"/>
      <c r="BC53" s="7"/>
      <c r="BD53" s="46">
        <f>IF(OR($G$4="MEDIA",$G$4="BASICA - TERCER CICLO"),ROUND(((AY53*$AY$11)+(AZ53*$AZ$11)+(BA53*$BA$11)+(BB53*$BB$11)+(BC53*$BC$11)*100)/35%,2),ROUND((AY53*$AY$11)+(AZ53*$AZ$11)+(BA53*$BA$11)+(BB53*$BB$11)+(BC53*$BC$11),2))</f>
        <v>0</v>
      </c>
      <c r="BE53" s="7"/>
      <c r="BF53" s="7"/>
      <c r="BG53" s="7"/>
      <c r="BH53" s="46">
        <f>IF(OR($G$4="MEDIA",$G$4="BASICA - TERCER CICLO"),ROUND(((BE53*$BE$11)+(BF53*$BF$11)+(BG53*$BG$11)*100)/30%,2),ROUND(((BE53*$BE$11)+(BF53*$BF$11)+(BG53*$BG$11)*100)/30%,2))</f>
        <v>0</v>
      </c>
      <c r="BI53" s="7"/>
      <c r="BJ53" s="14">
        <f>IF(OR($G$4="MEDIA",$G$4="BASICA - TERCER CICLO"),ROUND((BI53*$BI$11),2),ROUND((BI53*$BI$11),0))</f>
        <v>0</v>
      </c>
      <c r="BK53" s="47">
        <f>ROUND((AX53+BD53+BH53)/3,1)</f>
        <v>0</v>
      </c>
      <c r="BL53" s="7"/>
      <c r="BM53" s="7"/>
      <c r="BN53" s="7"/>
      <c r="BO53" s="7"/>
      <c r="BP53" s="7"/>
      <c r="BQ53" s="13">
        <f>IF(OR($G$4="MEDIA",$G$4="BASICA - TERCER CICLO"),ROUND(((BL53*$BL$11)+(BM53*$BM$11)+(BN53*$BN$11)+(BO53*$BO$11)+(BP53*$BP$11)*100)/35%,2),ROUND(((BL53*$BL$11)+(BM53*$BM$11)+(BN53*$BN$11)+(BO53*$BO$11)+(BP53*$BP$11)*100)/35%,2))</f>
        <v>0</v>
      </c>
      <c r="BR53" s="7"/>
      <c r="BS53" s="7"/>
      <c r="BT53" s="7"/>
      <c r="BU53" s="7"/>
      <c r="BV53" s="7"/>
      <c r="BW53" s="13">
        <f>IF(OR($G$4="MEDIA",$G$4="BASICA - TERCER CICLO"),ROUND(((BR53*$BR$11)+(BS53*$BS$11)+(BT53*$BT$11)+(BU53*$BU$11)+(BV53*$BV$11)*100)/35%,2),ROUND(((BR53*$BR$11)+(BS53*$BS$11)+(BT53*$BT$11)+(BU53*$BU$11)+(BV53*$BP$11)*100)/35%,2))</f>
        <v>0</v>
      </c>
      <c r="BX53" s="7"/>
      <c r="BY53" s="7"/>
      <c r="BZ53" s="7"/>
      <c r="CA53" s="13">
        <f>IF(OR($G$4="MEDIA",$G$4="BASICA - TERCER CICLO"),ROUND(((BX53*$BX$11)+(BY53*$BY$11)+(BZ53*$BZ$11)*100)/30%,2),ROUND(((BX53*$BX$11)+(BY53*$BY$11)+(BZ53*$BZ$11)*100)/30%,2))</f>
        <v>0</v>
      </c>
      <c r="CB53" s="7"/>
      <c r="CC53" s="14">
        <f>IF(OR($G$4="MEDIA",$G$4="BASICA - TERCER CICLO"),ROUND((CB53*$BI$11),2),ROUND((CB53*$BI$11),0))</f>
        <v>0</v>
      </c>
      <c r="CD53" s="28">
        <f>IF(OR($G$4="MEDIA",$G$4="BASICA - TERCER CICLO"),ROUND((BQ53+BW53+CA53+CC53),1),IF($G$4="BASICA",ROUND((BQ53+BW53+CA53+CC53),0),ROUND((BQ53+BW53+CA53+CC53),1)))</f>
        <v>0</v>
      </c>
      <c r="CE53" s="28">
        <f>IF($G$4 = "MEDIA",ROUND(((Y53+AR53+BK53+CD53)/4),0),ROUND(((Y53+AR53+BK53)/3),0))</f>
        <v>0</v>
      </c>
      <c r="CF53" s="20"/>
      <c r="CG53" s="28">
        <f>IF(AND(CE53&lt;5,$G$4="BASICA"),ROUND((CE53+CF53)/2,0),IF(AND(CE53&lt;6,$G$4="MEDIA"),ROUND((CE53+CF53)/2,0),CE53))</f>
        <v>0</v>
      </c>
      <c r="CH53" s="17" t="str">
        <f>IF($G$4="MEDIA",IF(CG53&gt;=6,"Aprobado","Reprobado"),IF(CG53&gt;=5,"Aprobado","Reprobado"))</f>
        <v>Reprobado</v>
      </c>
    </row>
    <row r="54" spans="1:86" customHeight="1" ht="20.25">
      <c r="A54" s="41">
        <v>42</v>
      </c>
      <c r="B54" s="3">
        <v>10521389</v>
      </c>
      <c r="C54" s="3">
        <v>5099</v>
      </c>
      <c r="D54" s="3">
        <v>26966</v>
      </c>
      <c r="E54" s="3" t="s">
        <v>79</v>
      </c>
      <c r="F54" s="42" t="s">
        <v>39</v>
      </c>
      <c r="G54" s="32"/>
      <c r="H54" s="12"/>
      <c r="I54" s="12"/>
      <c r="J54" s="12"/>
      <c r="K54" s="12"/>
      <c r="L54" s="46">
        <f>IF(OR($G$4="MEDIA",$G$4="BASICA - TERCER CICLO"),ROUND(((G54*$G$11)+(H54*$H$11)+(I54*$I$11)+(J54*$J$11)+(K54*$K$11)*100)/35%,2),ROUND((G54*$G$11)+(H54*$H$11)+(I54*$I$11)+(J54*$J$11)+(K54*$K$11),2))</f>
        <v>0</v>
      </c>
      <c r="M54" s="12"/>
      <c r="N54" s="12"/>
      <c r="O54" s="12"/>
      <c r="P54" s="12"/>
      <c r="Q54" s="12"/>
      <c r="R54" s="46">
        <f>IF(OR($G$4="MEDIA",$G$4="BASICA - TERCER CICLO"),ROUND(((M54*$M$11)+(N54*$N$11)+(O54*$O$11)+(P54*$P$11)+(Q54*$Q$11)*100)/35%,2),ROUND((M54*$M$11)+(N54*$N$11)+(O54*$O$11)+(P54*$P$11)+(Q54*$Q$11),2))</f>
        <v>0</v>
      </c>
      <c r="S54" s="12"/>
      <c r="T54" s="12"/>
      <c r="U54" s="12"/>
      <c r="V54" s="13">
        <f>IF(OR($G$4="MEDIA",$G$4="BASICA - TERCER CICLO"),ROUND(((S54*$S$11)+(T54*$T$11)+(U54*$U$11)*100)/30%,2),ROUND(((S54*$S$11)+(T54*$T$11)+(U54*$U$11)*100)/30%,2))</f>
        <v>0</v>
      </c>
      <c r="W54" s="12"/>
      <c r="X54" s="14">
        <f>IF(OR($G$4="MEDIA",$G$4="BASICA - TERCER CICLO"),ROUND((W54*$W$11),2),ROUND((W54*$W$11),0))</f>
        <v>0</v>
      </c>
      <c r="Y54" s="47">
        <f>ROUND((L54+R54+V54)/3,1)</f>
        <v>0</v>
      </c>
      <c r="Z54" s="12"/>
      <c r="AA54" s="12"/>
      <c r="AB54" s="12"/>
      <c r="AC54" s="12"/>
      <c r="AD54" s="12"/>
      <c r="AE54" s="46">
        <f>IF(OR($G$4="MEDIA",$G$4="BASICA - TERCER CICLO"),ROUND(((Z54*$Z$11)+(AA54*$AA$11)+(AB54*$AB$11)+(AC54*$AC$11)+(AD54*$AD$11)*100)/35%,2),ROUND((Z54*$Z$11)+(AA54*$AA$11)+(AB54*$AB$11)+(AC54*$AC$11)+(AD54*$AD$11),2))</f>
        <v>0</v>
      </c>
      <c r="AF54" s="12"/>
      <c r="AG54" s="12"/>
      <c r="AH54" s="12"/>
      <c r="AI54" s="12"/>
      <c r="AJ54" s="12"/>
      <c r="AK54" s="46">
        <f>IF(OR($G$4="MEDIA",$G$4="BASICA - TERCER CICLO"),ROUND(((AF54*$AF$11)+(AG54*$AG$11)+(AH54*$AH$11)+(AI54*$AI$11)+(AJ54*$AJ$11)*100)/35%,2),ROUND((AF54*$AF$11)+(AG54*$AG$11)+(AH54*$AH$11)+(AI54*$AI$11)+(AJ54*$AJ$11),2))</f>
        <v>0</v>
      </c>
      <c r="AL54" s="12"/>
      <c r="AM54" s="12"/>
      <c r="AN54" s="12"/>
      <c r="AO54" s="46">
        <f>IF(OR($G$4="MEDIA",$G$4="BASICA - TERCER CICLO"),ROUND(((AL54*$AL$11)+(AM54*$AM$11)+(AN54*$AN$11)*100)/30%,2),ROUND(((AL54*$AL$11)+(AM54*$AM$11)+(AN54*$AN$11)*100)/30%,2))</f>
        <v>0</v>
      </c>
      <c r="AP54" s="12"/>
      <c r="AQ54" s="14">
        <f>IF(OR($G$4="MEDIA",$G$4="BASICA - TERCER CICLO"),ROUND((AP54*$AP$11),2),ROUND((AP54*$AP$11),0))</f>
        <v>0</v>
      </c>
      <c r="AR54" s="47">
        <f>ROUND((AE54+AK54+AO54)/3,1)</f>
        <v>0</v>
      </c>
      <c r="AS54" s="12"/>
      <c r="AT54" s="12"/>
      <c r="AU54" s="12"/>
      <c r="AV54" s="12"/>
      <c r="AW54" s="12"/>
      <c r="AX54" s="46">
        <f>IF(OR($G$4="MEDIA",$G$4="BASICA - TERCER CICLO"),ROUND(((AS54*$AS$11)+(AT54*$AT$11)+(AU54*$AU$11)+(AV54*$AV$11)+(AW54*$AW$11)*100)/35%,2),ROUND((AS54*$AS$11)+(AT54*$AT$11)+(AU54*$AU$11)+(AV54*$AV$11)+(AW54*$AW$11),2))</f>
        <v>0</v>
      </c>
      <c r="AY54" s="12"/>
      <c r="AZ54" s="12"/>
      <c r="BA54" s="12"/>
      <c r="BB54" s="12"/>
      <c r="BC54" s="12"/>
      <c r="BD54" s="46">
        <f>IF(OR($G$4="MEDIA",$G$4="BASICA - TERCER CICLO"),ROUND(((AY54*$AY$11)+(AZ54*$AZ$11)+(BA54*$BA$11)+(BB54*$BB$11)+(BC54*$BC$11)*100)/35%,2),ROUND((AY54*$AY$11)+(AZ54*$AZ$11)+(BA54*$BA$11)+(BB54*$BB$11)+(BC54*$BC$11),2))</f>
        <v>0</v>
      </c>
      <c r="BE54" s="12"/>
      <c r="BF54" s="12"/>
      <c r="BG54" s="12"/>
      <c r="BH54" s="46">
        <f>IF(OR($G$4="MEDIA",$G$4="BASICA - TERCER CICLO"),ROUND(((BE54*$BE$11)+(BF54*$BF$11)+(BG54*$BG$11)*100)/30%,2),ROUND(((BE54*$BE$11)+(BF54*$BF$11)+(BG54*$BG$11)*100)/30%,2))</f>
        <v>0</v>
      </c>
      <c r="BI54" s="12"/>
      <c r="BJ54" s="14">
        <f>IF(OR($G$4="MEDIA",$G$4="BASICA - TERCER CICLO"),ROUND((BI54*$BI$11),2),ROUND((BI54*$BI$11),0))</f>
        <v>0</v>
      </c>
      <c r="BK54" s="47">
        <f>ROUND((AX54+BD54+BH54)/3,1)</f>
        <v>0</v>
      </c>
      <c r="BL54" s="12"/>
      <c r="BM54" s="12"/>
      <c r="BN54" s="12"/>
      <c r="BO54" s="12"/>
      <c r="BP54" s="12"/>
      <c r="BQ54" s="13">
        <f>IF(OR($G$4="MEDIA",$G$4="BASICA - TERCER CICLO"),ROUND(((BL54*$BL$11)+(BM54*$BM$11)+(BN54*$BN$11)+(BO54*$BO$11)+(BP54*$BP$11)*100)/35%,2),ROUND(((BL54*$BL$11)+(BM54*$BM$11)+(BN54*$BN$11)+(BO54*$BO$11)+(BP54*$BP$11)*100)/35%,2))</f>
        <v>0</v>
      </c>
      <c r="BR54" s="12"/>
      <c r="BS54" s="12"/>
      <c r="BT54" s="12"/>
      <c r="BU54" s="12"/>
      <c r="BV54" s="12"/>
      <c r="BW54" s="13">
        <f>IF(OR($G$4="MEDIA",$G$4="BASICA - TERCER CICLO"),ROUND(((BR54*$BR$11)+(BS54*$BS$11)+(BT54*$BT$11)+(BU54*$BU$11)+(BV54*$BV$11)*100)/35%,2),ROUND(((BR54*$BR$11)+(BS54*$BS$11)+(BT54*$BT$11)+(BU54*$BU$11)+(BV54*$BP$11)*100)/35%,2))</f>
        <v>0</v>
      </c>
      <c r="BX54" s="12"/>
      <c r="BY54" s="12"/>
      <c r="BZ54" s="12"/>
      <c r="CA54" s="13">
        <f>IF(OR($G$4="MEDIA",$G$4="BASICA - TERCER CICLO"),ROUND(((BX54*$BX$11)+(BY54*$BY$11)+(BZ54*$BZ$11)*100)/30%,2),ROUND(((BX54*$BX$11)+(BY54*$BY$11)+(BZ54*$BZ$11)*100)/30%,2))</f>
        <v>0</v>
      </c>
      <c r="CB54" s="12"/>
      <c r="CC54" s="14">
        <f>IF(OR($G$4="MEDIA",$G$4="BASICA - TERCER CICLO"),ROUND((CB54*$BI$11),2),ROUND((CB54*$BI$11),0))</f>
        <v>0</v>
      </c>
      <c r="CD54" s="28">
        <f>IF(OR($G$4="MEDIA",$G$4="BASICA - TERCER CICLO"),ROUND((BQ54+BW54+CA54+CC54),1),IF($G$4="BASICA",ROUND((BQ54+BW54+CA54+CC54),0),ROUND((BQ54+BW54+CA54+CC54),1)))</f>
        <v>0</v>
      </c>
      <c r="CE54" s="28">
        <f>IF($G$4 = "MEDIA",ROUND(((Y54+AR54+BK54+CD54)/4),0),ROUND(((Y54+AR54+BK54)/3),0))</f>
        <v>0</v>
      </c>
      <c r="CF54" s="21"/>
      <c r="CG54" s="28">
        <f>IF(AND(CE54&lt;5,$G$4="BASICA"),ROUND((CE54+CF54)/2,0),IF(AND(CE54&lt;6,$G$4="MEDIA"),ROUND((CE54+CF54)/2,0),CE54))</f>
        <v>0</v>
      </c>
      <c r="CH54" s="16" t="str">
        <f>IF($G$4="MEDIA",IF(CG54&gt;=6,"Aprobado","Reprobado"),IF(CG54&gt;=5,"Aprobado","Reprobado"))</f>
        <v>Reprobado</v>
      </c>
    </row>
    <row r="55" spans="1:86" customHeight="1" ht="20.25">
      <c r="A55" s="39">
        <v>43</v>
      </c>
      <c r="B55" s="2">
        <v>10175340</v>
      </c>
      <c r="C55" s="2">
        <v>4278</v>
      </c>
      <c r="D55" s="2">
        <v>26989</v>
      </c>
      <c r="E55" s="2" t="s">
        <v>80</v>
      </c>
      <c r="F55" s="40" t="s">
        <v>39</v>
      </c>
      <c r="G55" s="31"/>
      <c r="H55" s="7"/>
      <c r="I55" s="7"/>
      <c r="J55" s="7"/>
      <c r="K55" s="7"/>
      <c r="L55" s="46">
        <f>IF(OR($G$4="MEDIA",$G$4="BASICA - TERCER CICLO"),ROUND(((G55*$G$11)+(H55*$H$11)+(I55*$I$11)+(J55*$J$11)+(K55*$K$11)*100)/35%,2),ROUND((G55*$G$11)+(H55*$H$11)+(I55*$I$11)+(J55*$J$11)+(K55*$K$11),2))</f>
        <v>0</v>
      </c>
      <c r="M55" s="7"/>
      <c r="N55" s="7"/>
      <c r="O55" s="7"/>
      <c r="P55" s="7"/>
      <c r="Q55" s="7"/>
      <c r="R55" s="46">
        <f>IF(OR($G$4="MEDIA",$G$4="BASICA - TERCER CICLO"),ROUND(((M55*$M$11)+(N55*$N$11)+(O55*$O$11)+(P55*$P$11)+(Q55*$Q$11)*100)/35%,2),ROUND((M55*$M$11)+(N55*$N$11)+(O55*$O$11)+(P55*$P$11)+(Q55*$Q$11),2))</f>
        <v>0</v>
      </c>
      <c r="S55" s="7"/>
      <c r="T55" s="7"/>
      <c r="U55" s="7"/>
      <c r="V55" s="13">
        <f>IF(OR($G$4="MEDIA",$G$4="BASICA - TERCER CICLO"),ROUND(((S55*$S$11)+(T55*$T$11)+(U55*$U$11)*100)/30%,2),ROUND(((S55*$S$11)+(T55*$T$11)+(U55*$U$11)*100)/30%,2))</f>
        <v>0</v>
      </c>
      <c r="W55" s="7"/>
      <c r="X55" s="14">
        <f>IF(OR($G$4="MEDIA",$G$4="BASICA - TERCER CICLO"),ROUND((W55*$W$11),2),ROUND((W55*$W$11),0))</f>
        <v>0</v>
      </c>
      <c r="Y55" s="47">
        <f>ROUND((L55+R55+V55)/3,1)</f>
        <v>0</v>
      </c>
      <c r="Z55" s="7"/>
      <c r="AA55" s="7"/>
      <c r="AB55" s="7"/>
      <c r="AC55" s="7"/>
      <c r="AD55" s="7"/>
      <c r="AE55" s="46">
        <f>IF(OR($G$4="MEDIA",$G$4="BASICA - TERCER CICLO"),ROUND(((Z55*$Z$11)+(AA55*$AA$11)+(AB55*$AB$11)+(AC55*$AC$11)+(AD55*$AD$11)*100)/35%,2),ROUND((Z55*$Z$11)+(AA55*$AA$11)+(AB55*$AB$11)+(AC55*$AC$11)+(AD55*$AD$11),2))</f>
        <v>0</v>
      </c>
      <c r="AF55" s="7"/>
      <c r="AG55" s="7"/>
      <c r="AH55" s="7"/>
      <c r="AI55" s="7"/>
      <c r="AJ55" s="7"/>
      <c r="AK55" s="46">
        <f>IF(OR($G$4="MEDIA",$G$4="BASICA - TERCER CICLO"),ROUND(((AF55*$AF$11)+(AG55*$AG$11)+(AH55*$AH$11)+(AI55*$AI$11)+(AJ55*$AJ$11)*100)/35%,2),ROUND((AF55*$AF$11)+(AG55*$AG$11)+(AH55*$AH$11)+(AI55*$AI$11)+(AJ55*$AJ$11),2))</f>
        <v>0</v>
      </c>
      <c r="AL55" s="7"/>
      <c r="AM55" s="7"/>
      <c r="AN55" s="7"/>
      <c r="AO55" s="46">
        <f>IF(OR($G$4="MEDIA",$G$4="BASICA - TERCER CICLO"),ROUND(((AL55*$AL$11)+(AM55*$AM$11)+(AN55*$AN$11)*100)/30%,2),ROUND(((AL55*$AL$11)+(AM55*$AM$11)+(AN55*$AN$11)*100)/30%,2))</f>
        <v>0</v>
      </c>
      <c r="AP55" s="7"/>
      <c r="AQ55" s="14">
        <f>IF(OR($G$4="MEDIA",$G$4="BASICA - TERCER CICLO"),ROUND((AP55*$AP$11),2),ROUND((AP55*$AP$11),0))</f>
        <v>0</v>
      </c>
      <c r="AR55" s="47">
        <f>ROUND((AE55+AK55+AO55)/3,1)</f>
        <v>0</v>
      </c>
      <c r="AS55" s="7"/>
      <c r="AT55" s="7"/>
      <c r="AU55" s="7"/>
      <c r="AV55" s="7"/>
      <c r="AW55" s="7"/>
      <c r="AX55" s="46">
        <f>IF(OR($G$4="MEDIA",$G$4="BASICA - TERCER CICLO"),ROUND(((AS55*$AS$11)+(AT55*$AT$11)+(AU55*$AU$11)+(AV55*$AV$11)+(AW55*$AW$11)*100)/35%,2),ROUND((AS55*$AS$11)+(AT55*$AT$11)+(AU55*$AU$11)+(AV55*$AV$11)+(AW55*$AW$11),2))</f>
        <v>0</v>
      </c>
      <c r="AY55" s="7"/>
      <c r="AZ55" s="7"/>
      <c r="BA55" s="7"/>
      <c r="BB55" s="7"/>
      <c r="BC55" s="7"/>
      <c r="BD55" s="46">
        <f>IF(OR($G$4="MEDIA",$G$4="BASICA - TERCER CICLO"),ROUND(((AY55*$AY$11)+(AZ55*$AZ$11)+(BA55*$BA$11)+(BB55*$BB$11)+(BC55*$BC$11)*100)/35%,2),ROUND((AY55*$AY$11)+(AZ55*$AZ$11)+(BA55*$BA$11)+(BB55*$BB$11)+(BC55*$BC$11),2))</f>
        <v>0</v>
      </c>
      <c r="BE55" s="7"/>
      <c r="BF55" s="7"/>
      <c r="BG55" s="7"/>
      <c r="BH55" s="46">
        <f>IF(OR($G$4="MEDIA",$G$4="BASICA - TERCER CICLO"),ROUND(((BE55*$BE$11)+(BF55*$BF$11)+(BG55*$BG$11)*100)/30%,2),ROUND(((BE55*$BE$11)+(BF55*$BF$11)+(BG55*$BG$11)*100)/30%,2))</f>
        <v>0</v>
      </c>
      <c r="BI55" s="7"/>
      <c r="BJ55" s="14">
        <f>IF(OR($G$4="MEDIA",$G$4="BASICA - TERCER CICLO"),ROUND((BI55*$BI$11),2),ROUND((BI55*$BI$11),0))</f>
        <v>0</v>
      </c>
      <c r="BK55" s="47">
        <f>ROUND((AX55+BD55+BH55)/3,1)</f>
        <v>0</v>
      </c>
      <c r="BL55" s="7"/>
      <c r="BM55" s="7"/>
      <c r="BN55" s="7"/>
      <c r="BO55" s="7"/>
      <c r="BP55" s="7"/>
      <c r="BQ55" s="13">
        <f>IF(OR($G$4="MEDIA",$G$4="BASICA - TERCER CICLO"),ROUND(((BL55*$BL$11)+(BM55*$BM$11)+(BN55*$BN$11)+(BO55*$BO$11)+(BP55*$BP$11)*100)/35%,2),ROUND(((BL55*$BL$11)+(BM55*$BM$11)+(BN55*$BN$11)+(BO55*$BO$11)+(BP55*$BP$11)*100)/35%,2))</f>
        <v>0</v>
      </c>
      <c r="BR55" s="7"/>
      <c r="BS55" s="7"/>
      <c r="BT55" s="7"/>
      <c r="BU55" s="7"/>
      <c r="BV55" s="7"/>
      <c r="BW55" s="13">
        <f>IF(OR($G$4="MEDIA",$G$4="BASICA - TERCER CICLO"),ROUND(((BR55*$BR$11)+(BS55*$BS$11)+(BT55*$BT$11)+(BU55*$BU$11)+(BV55*$BV$11)*100)/35%,2),ROUND(((BR55*$BR$11)+(BS55*$BS$11)+(BT55*$BT$11)+(BU55*$BU$11)+(BV55*$BP$11)*100)/35%,2))</f>
        <v>0</v>
      </c>
      <c r="BX55" s="7"/>
      <c r="BY55" s="7"/>
      <c r="BZ55" s="7"/>
      <c r="CA55" s="13">
        <f>IF(OR($G$4="MEDIA",$G$4="BASICA - TERCER CICLO"),ROUND(((BX55*$BX$11)+(BY55*$BY$11)+(BZ55*$BZ$11)*100)/30%,2),ROUND(((BX55*$BX$11)+(BY55*$BY$11)+(BZ55*$BZ$11)*100)/30%,2))</f>
        <v>0</v>
      </c>
      <c r="CB55" s="7"/>
      <c r="CC55" s="14">
        <f>IF(OR($G$4="MEDIA",$G$4="BASICA - TERCER CICLO"),ROUND((CB55*$BI$11),2),ROUND((CB55*$BI$11),0))</f>
        <v>0</v>
      </c>
      <c r="CD55" s="28">
        <f>IF(OR($G$4="MEDIA",$G$4="BASICA - TERCER CICLO"),ROUND((BQ55+BW55+CA55+CC55),1),IF($G$4="BASICA",ROUND((BQ55+BW55+CA55+CC55),0),ROUND((BQ55+BW55+CA55+CC55),1)))</f>
        <v>0</v>
      </c>
      <c r="CE55" s="28">
        <f>IF($G$4 = "MEDIA",ROUND(((Y55+AR55+BK55+CD55)/4),0),ROUND(((Y55+AR55+BK55)/3),0))</f>
        <v>0</v>
      </c>
      <c r="CF55" s="20"/>
      <c r="CG55" s="28">
        <f>IF(AND(CE55&lt;5,$G$4="BASICA"),ROUND((CE55+CF55)/2,0),IF(AND(CE55&lt;6,$G$4="MEDIA"),ROUND((CE55+CF55)/2,0),CE55))</f>
        <v>0</v>
      </c>
      <c r="CH55" s="17" t="str">
        <f>IF($G$4="MEDIA",IF(CG55&gt;=6,"Aprobado","Reprobado"),IF(CG55&gt;=5,"Aprobado","Reprobado"))</f>
        <v>Reprobado</v>
      </c>
    </row>
    <row r="56" spans="1:86" customHeight="1" ht="20.25">
      <c r="A56" s="41">
        <v>44</v>
      </c>
      <c r="B56" s="3">
        <v>10464739</v>
      </c>
      <c r="C56" s="3">
        <v>5128</v>
      </c>
      <c r="D56" s="3">
        <v>26990</v>
      </c>
      <c r="E56" s="3" t="s">
        <v>81</v>
      </c>
      <c r="F56" s="42" t="s">
        <v>37</v>
      </c>
      <c r="G56" s="32"/>
      <c r="H56" s="12"/>
      <c r="I56" s="12"/>
      <c r="J56" s="12"/>
      <c r="K56" s="12"/>
      <c r="L56" s="46">
        <f>IF(OR($G$4="MEDIA",$G$4="BASICA - TERCER CICLO"),ROUND(((G56*$G$11)+(H56*$H$11)+(I56*$I$11)+(J56*$J$11)+(K56*$K$11)*100)/35%,2),ROUND((G56*$G$11)+(H56*$H$11)+(I56*$I$11)+(J56*$J$11)+(K56*$K$11),2))</f>
        <v>0</v>
      </c>
      <c r="M56" s="12"/>
      <c r="N56" s="12"/>
      <c r="O56" s="12"/>
      <c r="P56" s="12"/>
      <c r="Q56" s="12"/>
      <c r="R56" s="46">
        <f>IF(OR($G$4="MEDIA",$G$4="BASICA - TERCER CICLO"),ROUND(((M56*$M$11)+(N56*$N$11)+(O56*$O$11)+(P56*$P$11)+(Q56*$Q$11)*100)/35%,2),ROUND((M56*$M$11)+(N56*$N$11)+(O56*$O$11)+(P56*$P$11)+(Q56*$Q$11),2))</f>
        <v>0</v>
      </c>
      <c r="S56" s="12"/>
      <c r="T56" s="12"/>
      <c r="U56" s="12"/>
      <c r="V56" s="13">
        <f>IF(OR($G$4="MEDIA",$G$4="BASICA - TERCER CICLO"),ROUND(((S56*$S$11)+(T56*$T$11)+(U56*$U$11)*100)/30%,2),ROUND(((S56*$S$11)+(T56*$T$11)+(U56*$U$11)*100)/30%,2))</f>
        <v>0</v>
      </c>
      <c r="W56" s="12"/>
      <c r="X56" s="14">
        <f>IF(OR($G$4="MEDIA",$G$4="BASICA - TERCER CICLO"),ROUND((W56*$W$11),2),ROUND((W56*$W$11),0))</f>
        <v>0</v>
      </c>
      <c r="Y56" s="47">
        <f>ROUND((L56+R56+V56)/3,1)</f>
        <v>0</v>
      </c>
      <c r="Z56" s="12"/>
      <c r="AA56" s="12"/>
      <c r="AB56" s="12"/>
      <c r="AC56" s="12"/>
      <c r="AD56" s="12"/>
      <c r="AE56" s="46">
        <f>IF(OR($G$4="MEDIA",$G$4="BASICA - TERCER CICLO"),ROUND(((Z56*$Z$11)+(AA56*$AA$11)+(AB56*$AB$11)+(AC56*$AC$11)+(AD56*$AD$11)*100)/35%,2),ROUND((Z56*$Z$11)+(AA56*$AA$11)+(AB56*$AB$11)+(AC56*$AC$11)+(AD56*$AD$11),2))</f>
        <v>0</v>
      </c>
      <c r="AF56" s="12"/>
      <c r="AG56" s="12"/>
      <c r="AH56" s="12"/>
      <c r="AI56" s="12"/>
      <c r="AJ56" s="12"/>
      <c r="AK56" s="46">
        <f>IF(OR($G$4="MEDIA",$G$4="BASICA - TERCER CICLO"),ROUND(((AF56*$AF$11)+(AG56*$AG$11)+(AH56*$AH$11)+(AI56*$AI$11)+(AJ56*$AJ$11)*100)/35%,2),ROUND((AF56*$AF$11)+(AG56*$AG$11)+(AH56*$AH$11)+(AI56*$AI$11)+(AJ56*$AJ$11),2))</f>
        <v>0</v>
      </c>
      <c r="AL56" s="12"/>
      <c r="AM56" s="12"/>
      <c r="AN56" s="12"/>
      <c r="AO56" s="46">
        <f>IF(OR($G$4="MEDIA",$G$4="BASICA - TERCER CICLO"),ROUND(((AL56*$AL$11)+(AM56*$AM$11)+(AN56*$AN$11)*100)/30%,2),ROUND(((AL56*$AL$11)+(AM56*$AM$11)+(AN56*$AN$11)*100)/30%,2))</f>
        <v>0</v>
      </c>
      <c r="AP56" s="12"/>
      <c r="AQ56" s="14">
        <f>IF(OR($G$4="MEDIA",$G$4="BASICA - TERCER CICLO"),ROUND((AP56*$AP$11),2),ROUND((AP56*$AP$11),0))</f>
        <v>0</v>
      </c>
      <c r="AR56" s="47">
        <f>ROUND((AE56+AK56+AO56)/3,1)</f>
        <v>0</v>
      </c>
      <c r="AS56" s="12"/>
      <c r="AT56" s="12"/>
      <c r="AU56" s="12"/>
      <c r="AV56" s="12"/>
      <c r="AW56" s="12"/>
      <c r="AX56" s="46">
        <f>IF(OR($G$4="MEDIA",$G$4="BASICA - TERCER CICLO"),ROUND(((AS56*$AS$11)+(AT56*$AT$11)+(AU56*$AU$11)+(AV56*$AV$11)+(AW56*$AW$11)*100)/35%,2),ROUND((AS56*$AS$11)+(AT56*$AT$11)+(AU56*$AU$11)+(AV56*$AV$11)+(AW56*$AW$11),2))</f>
        <v>0</v>
      </c>
      <c r="AY56" s="12"/>
      <c r="AZ56" s="12"/>
      <c r="BA56" s="12"/>
      <c r="BB56" s="12"/>
      <c r="BC56" s="12"/>
      <c r="BD56" s="46">
        <f>IF(OR($G$4="MEDIA",$G$4="BASICA - TERCER CICLO"),ROUND(((AY56*$AY$11)+(AZ56*$AZ$11)+(BA56*$BA$11)+(BB56*$BB$11)+(BC56*$BC$11)*100)/35%,2),ROUND((AY56*$AY$11)+(AZ56*$AZ$11)+(BA56*$BA$11)+(BB56*$BB$11)+(BC56*$BC$11),2))</f>
        <v>0</v>
      </c>
      <c r="BE56" s="12"/>
      <c r="BF56" s="12"/>
      <c r="BG56" s="12"/>
      <c r="BH56" s="46">
        <f>IF(OR($G$4="MEDIA",$G$4="BASICA - TERCER CICLO"),ROUND(((BE56*$BE$11)+(BF56*$BF$11)+(BG56*$BG$11)*100)/30%,2),ROUND(((BE56*$BE$11)+(BF56*$BF$11)+(BG56*$BG$11)*100)/30%,2))</f>
        <v>0</v>
      </c>
      <c r="BI56" s="12"/>
      <c r="BJ56" s="14">
        <f>IF(OR($G$4="MEDIA",$G$4="BASICA - TERCER CICLO"),ROUND((BI56*$BI$11),2),ROUND((BI56*$BI$11),0))</f>
        <v>0</v>
      </c>
      <c r="BK56" s="47">
        <f>ROUND((AX56+BD56+BH56)/3,1)</f>
        <v>0</v>
      </c>
      <c r="BL56" s="12"/>
      <c r="BM56" s="12"/>
      <c r="BN56" s="12"/>
      <c r="BO56" s="12"/>
      <c r="BP56" s="12"/>
      <c r="BQ56" s="13">
        <f>IF(OR($G$4="MEDIA",$G$4="BASICA - TERCER CICLO"),ROUND(((BL56*$BL$11)+(BM56*$BM$11)+(BN56*$BN$11)+(BO56*$BO$11)+(BP56*$BP$11)*100)/35%,2),ROUND(((BL56*$BL$11)+(BM56*$BM$11)+(BN56*$BN$11)+(BO56*$BO$11)+(BP56*$BP$11)*100)/35%,2))</f>
        <v>0</v>
      </c>
      <c r="BR56" s="12"/>
      <c r="BS56" s="12"/>
      <c r="BT56" s="12"/>
      <c r="BU56" s="12"/>
      <c r="BV56" s="12"/>
      <c r="BW56" s="13">
        <f>IF(OR($G$4="MEDIA",$G$4="BASICA - TERCER CICLO"),ROUND(((BR56*$BR$11)+(BS56*$BS$11)+(BT56*$BT$11)+(BU56*$BU$11)+(BV56*$BV$11)*100)/35%,2),ROUND(((BR56*$BR$11)+(BS56*$BS$11)+(BT56*$BT$11)+(BU56*$BU$11)+(BV56*$BP$11)*100)/35%,2))</f>
        <v>0</v>
      </c>
      <c r="BX56" s="12"/>
      <c r="BY56" s="12"/>
      <c r="BZ56" s="12"/>
      <c r="CA56" s="13">
        <f>IF(OR($G$4="MEDIA",$G$4="BASICA - TERCER CICLO"),ROUND(((BX56*$BX$11)+(BY56*$BY$11)+(BZ56*$BZ$11)*100)/30%,2),ROUND(((BX56*$BX$11)+(BY56*$BY$11)+(BZ56*$BZ$11)*100)/30%,2))</f>
        <v>0</v>
      </c>
      <c r="CB56" s="12"/>
      <c r="CC56" s="14">
        <f>IF(OR($G$4="MEDIA",$G$4="BASICA - TERCER CICLO"),ROUND((CB56*$BI$11),2),ROUND((CB56*$BI$11),0))</f>
        <v>0</v>
      </c>
      <c r="CD56" s="28">
        <f>IF(OR($G$4="MEDIA",$G$4="BASICA - TERCER CICLO"),ROUND((BQ56+BW56+CA56+CC56),1),IF($G$4="BASICA",ROUND((BQ56+BW56+CA56+CC56),0),ROUND((BQ56+BW56+CA56+CC56),1)))</f>
        <v>0</v>
      </c>
      <c r="CE56" s="28">
        <f>IF($G$4 = "MEDIA",ROUND(((Y56+AR56+BK56+CD56)/4),0),ROUND(((Y56+AR56+BK56)/3),0))</f>
        <v>0</v>
      </c>
      <c r="CF56" s="21"/>
      <c r="CG56" s="28">
        <f>IF(AND(CE56&lt;5,$G$4="BASICA"),ROUND((CE56+CF56)/2,0),IF(AND(CE56&lt;6,$G$4="MEDIA"),ROUND((CE56+CF56)/2,0),CE56))</f>
        <v>0</v>
      </c>
      <c r="CH56" s="16" t="str">
        <f>IF($G$4="MEDIA",IF(CG56&gt;=6,"Aprobado","Reprobado"),IF(CG56&gt;=5,"Aprobado","Reprobado"))</f>
        <v>Reprobado</v>
      </c>
    </row>
    <row r="57" spans="1:86" customHeight="1" ht="20.25">
      <c r="A57" s="39">
        <v>45</v>
      </c>
      <c r="B57" s="2">
        <v>10282543</v>
      </c>
      <c r="C57" s="2">
        <v>4399</v>
      </c>
      <c r="D57" s="2">
        <v>26991</v>
      </c>
      <c r="E57" s="2" t="s">
        <v>82</v>
      </c>
      <c r="F57" s="40" t="s">
        <v>39</v>
      </c>
      <c r="G57" s="31"/>
      <c r="H57" s="7"/>
      <c r="I57" s="7"/>
      <c r="J57" s="7"/>
      <c r="K57" s="7"/>
      <c r="L57" s="46">
        <f>IF(OR($G$4="MEDIA",$G$4="BASICA - TERCER CICLO"),ROUND(((G57*$G$11)+(H57*$H$11)+(I57*$I$11)+(J57*$J$11)+(K57*$K$11)*100)/35%,2),ROUND((G57*$G$11)+(H57*$H$11)+(I57*$I$11)+(J57*$J$11)+(K57*$K$11),2))</f>
        <v>0</v>
      </c>
      <c r="M57" s="7"/>
      <c r="N57" s="7"/>
      <c r="O57" s="7"/>
      <c r="P57" s="7"/>
      <c r="Q57" s="7"/>
      <c r="R57" s="46">
        <f>IF(OR($G$4="MEDIA",$G$4="BASICA - TERCER CICLO"),ROUND(((M57*$M$11)+(N57*$N$11)+(O57*$O$11)+(P57*$P$11)+(Q57*$Q$11)*100)/35%,2),ROUND((M57*$M$11)+(N57*$N$11)+(O57*$O$11)+(P57*$P$11)+(Q57*$Q$11),2))</f>
        <v>0</v>
      </c>
      <c r="S57" s="7"/>
      <c r="T57" s="7"/>
      <c r="U57" s="7"/>
      <c r="V57" s="13">
        <f>IF(OR($G$4="MEDIA",$G$4="BASICA - TERCER CICLO"),ROUND(((S57*$S$11)+(T57*$T$11)+(U57*$U$11)*100)/30%,2),ROUND(((S57*$S$11)+(T57*$T$11)+(U57*$U$11)*100)/30%,2))</f>
        <v>0</v>
      </c>
      <c r="W57" s="7"/>
      <c r="X57" s="14">
        <f>IF(OR($G$4="MEDIA",$G$4="BASICA - TERCER CICLO"),ROUND((W57*$W$11),2),ROUND((W57*$W$11),0))</f>
        <v>0</v>
      </c>
      <c r="Y57" s="47">
        <f>ROUND((L57+R57+V57)/3,1)</f>
        <v>0</v>
      </c>
      <c r="Z57" s="7"/>
      <c r="AA57" s="7"/>
      <c r="AB57" s="7"/>
      <c r="AC57" s="7"/>
      <c r="AD57" s="7"/>
      <c r="AE57" s="46">
        <f>IF(OR($G$4="MEDIA",$G$4="BASICA - TERCER CICLO"),ROUND(((Z57*$Z$11)+(AA57*$AA$11)+(AB57*$AB$11)+(AC57*$AC$11)+(AD57*$AD$11)*100)/35%,2),ROUND((Z57*$Z$11)+(AA57*$AA$11)+(AB57*$AB$11)+(AC57*$AC$11)+(AD57*$AD$11),2))</f>
        <v>0</v>
      </c>
      <c r="AF57" s="7"/>
      <c r="AG57" s="7"/>
      <c r="AH57" s="7"/>
      <c r="AI57" s="7"/>
      <c r="AJ57" s="7"/>
      <c r="AK57" s="46">
        <f>IF(OR($G$4="MEDIA",$G$4="BASICA - TERCER CICLO"),ROUND(((AF57*$AF$11)+(AG57*$AG$11)+(AH57*$AH$11)+(AI57*$AI$11)+(AJ57*$AJ$11)*100)/35%,2),ROUND((AF57*$AF$11)+(AG57*$AG$11)+(AH57*$AH$11)+(AI57*$AI$11)+(AJ57*$AJ$11),2))</f>
        <v>0</v>
      </c>
      <c r="AL57" s="7"/>
      <c r="AM57" s="7"/>
      <c r="AN57" s="7"/>
      <c r="AO57" s="46">
        <f>IF(OR($G$4="MEDIA",$G$4="BASICA - TERCER CICLO"),ROUND(((AL57*$AL$11)+(AM57*$AM$11)+(AN57*$AN$11)*100)/30%,2),ROUND(((AL57*$AL$11)+(AM57*$AM$11)+(AN57*$AN$11)*100)/30%,2))</f>
        <v>0</v>
      </c>
      <c r="AP57" s="7"/>
      <c r="AQ57" s="14">
        <f>IF(OR($G$4="MEDIA",$G$4="BASICA - TERCER CICLO"),ROUND((AP57*$AP$11),2),ROUND((AP57*$AP$11),0))</f>
        <v>0</v>
      </c>
      <c r="AR57" s="47">
        <f>ROUND((AE57+AK57+AO57)/3,1)</f>
        <v>0</v>
      </c>
      <c r="AS57" s="7"/>
      <c r="AT57" s="7"/>
      <c r="AU57" s="7"/>
      <c r="AV57" s="7"/>
      <c r="AW57" s="7"/>
      <c r="AX57" s="46">
        <f>IF(OR($G$4="MEDIA",$G$4="BASICA - TERCER CICLO"),ROUND(((AS57*$AS$11)+(AT57*$AT$11)+(AU57*$AU$11)+(AV57*$AV$11)+(AW57*$AW$11)*100)/35%,2),ROUND((AS57*$AS$11)+(AT57*$AT$11)+(AU57*$AU$11)+(AV57*$AV$11)+(AW57*$AW$11),2))</f>
        <v>0</v>
      </c>
      <c r="AY57" s="7"/>
      <c r="AZ57" s="7"/>
      <c r="BA57" s="7"/>
      <c r="BB57" s="7"/>
      <c r="BC57" s="7"/>
      <c r="BD57" s="46">
        <f>IF(OR($G$4="MEDIA",$G$4="BASICA - TERCER CICLO"),ROUND(((AY57*$AY$11)+(AZ57*$AZ$11)+(BA57*$BA$11)+(BB57*$BB$11)+(BC57*$BC$11)*100)/35%,2),ROUND((AY57*$AY$11)+(AZ57*$AZ$11)+(BA57*$BA$11)+(BB57*$BB$11)+(BC57*$BC$11),2))</f>
        <v>0</v>
      </c>
      <c r="BE57" s="7"/>
      <c r="BF57" s="7"/>
      <c r="BG57" s="7"/>
      <c r="BH57" s="46">
        <f>IF(OR($G$4="MEDIA",$G$4="BASICA - TERCER CICLO"),ROUND(((BE57*$BE$11)+(BF57*$BF$11)+(BG57*$BG$11)*100)/30%,2),ROUND(((BE57*$BE$11)+(BF57*$BF$11)+(BG57*$BG$11)*100)/30%,2))</f>
        <v>0</v>
      </c>
      <c r="BI57" s="7"/>
      <c r="BJ57" s="14">
        <f>IF(OR($G$4="MEDIA",$G$4="BASICA - TERCER CICLO"),ROUND((BI57*$BI$11),2),ROUND((BI57*$BI$11),0))</f>
        <v>0</v>
      </c>
      <c r="BK57" s="47">
        <f>ROUND((AX57+BD57+BH57)/3,1)</f>
        <v>0</v>
      </c>
      <c r="BL57" s="7"/>
      <c r="BM57" s="7"/>
      <c r="BN57" s="7"/>
      <c r="BO57" s="7"/>
      <c r="BP57" s="7"/>
      <c r="BQ57" s="13">
        <f>IF(OR($G$4="MEDIA",$G$4="BASICA - TERCER CICLO"),ROUND(((BL57*$BL$11)+(BM57*$BM$11)+(BN57*$BN$11)+(BO57*$BO$11)+(BP57*$BP$11)*100)/35%,2),ROUND(((BL57*$BL$11)+(BM57*$BM$11)+(BN57*$BN$11)+(BO57*$BO$11)+(BP57*$BP$11)*100)/35%,2))</f>
        <v>0</v>
      </c>
      <c r="BR57" s="7"/>
      <c r="BS57" s="7"/>
      <c r="BT57" s="7"/>
      <c r="BU57" s="7"/>
      <c r="BV57" s="7"/>
      <c r="BW57" s="13">
        <f>IF(OR($G$4="MEDIA",$G$4="BASICA - TERCER CICLO"),ROUND(((BR57*$BR$11)+(BS57*$BS$11)+(BT57*$BT$11)+(BU57*$BU$11)+(BV57*$BV$11)*100)/35%,2),ROUND(((BR57*$BR$11)+(BS57*$BS$11)+(BT57*$BT$11)+(BU57*$BU$11)+(BV57*$BP$11)*100)/35%,2))</f>
        <v>0</v>
      </c>
      <c r="BX57" s="7"/>
      <c r="BY57" s="7"/>
      <c r="BZ57" s="7"/>
      <c r="CA57" s="13">
        <f>IF(OR($G$4="MEDIA",$G$4="BASICA - TERCER CICLO"),ROUND(((BX57*$BX$11)+(BY57*$BY$11)+(BZ57*$BZ$11)*100)/30%,2),ROUND(((BX57*$BX$11)+(BY57*$BY$11)+(BZ57*$BZ$11)*100)/30%,2))</f>
        <v>0</v>
      </c>
      <c r="CB57" s="7"/>
      <c r="CC57" s="14">
        <f>IF(OR($G$4="MEDIA",$G$4="BASICA - TERCER CICLO"),ROUND((CB57*$BI$11),2),ROUND((CB57*$BI$11),0))</f>
        <v>0</v>
      </c>
      <c r="CD57" s="28">
        <f>IF(OR($G$4="MEDIA",$G$4="BASICA - TERCER CICLO"),ROUND((BQ57+BW57+CA57+CC57),1),IF($G$4="BASICA",ROUND((BQ57+BW57+CA57+CC57),0),ROUND((BQ57+BW57+CA57+CC57),1)))</f>
        <v>0</v>
      </c>
      <c r="CE57" s="28">
        <f>IF($G$4 = "MEDIA",ROUND(((Y57+AR57+BK57+CD57)/4),0),ROUND(((Y57+AR57+BK57)/3),0))</f>
        <v>0</v>
      </c>
      <c r="CF57" s="20"/>
      <c r="CG57" s="28">
        <f>IF(AND(CE57&lt;5,$G$4="BASICA"),ROUND((CE57+CF57)/2,0),IF(AND(CE57&lt;6,$G$4="MEDIA"),ROUND((CE57+CF57)/2,0),CE57))</f>
        <v>0</v>
      </c>
      <c r="CH57" s="17" t="str">
        <f>IF($G$4="MEDIA",IF(CG57&gt;=6,"Aprobado","Reprobado"),IF(CG57&gt;=5,"Aprobado","Reprobado"))</f>
        <v>Reprobado</v>
      </c>
    </row>
    <row r="58" spans="1:86" customHeight="1" ht="20.25">
      <c r="A58" s="41">
        <v>46</v>
      </c>
      <c r="B58" s="3">
        <v>10391947</v>
      </c>
      <c r="C58" s="3">
        <v>5030</v>
      </c>
      <c r="D58" s="3">
        <v>27020</v>
      </c>
      <c r="E58" s="3" t="s">
        <v>83</v>
      </c>
      <c r="F58" s="42" t="s">
        <v>37</v>
      </c>
      <c r="G58" s="32"/>
      <c r="H58" s="12"/>
      <c r="I58" s="12"/>
      <c r="J58" s="12"/>
      <c r="K58" s="12"/>
      <c r="L58" s="46">
        <f>IF(OR($G$4="MEDIA",$G$4="BASICA - TERCER CICLO"),ROUND(((G58*$G$11)+(H58*$H$11)+(I58*$I$11)+(J58*$J$11)+(K58*$K$11)*100)/35%,2),ROUND((G58*$G$11)+(H58*$H$11)+(I58*$I$11)+(J58*$J$11)+(K58*$K$11),2))</f>
        <v>0</v>
      </c>
      <c r="M58" s="12"/>
      <c r="N58" s="12"/>
      <c r="O58" s="12"/>
      <c r="P58" s="12"/>
      <c r="Q58" s="12"/>
      <c r="R58" s="46">
        <f>IF(OR($G$4="MEDIA",$G$4="BASICA - TERCER CICLO"),ROUND(((M58*$M$11)+(N58*$N$11)+(O58*$O$11)+(P58*$P$11)+(Q58*$Q$11)*100)/35%,2),ROUND((M58*$M$11)+(N58*$N$11)+(O58*$O$11)+(P58*$P$11)+(Q58*$Q$11),2))</f>
        <v>0</v>
      </c>
      <c r="S58" s="12"/>
      <c r="T58" s="12"/>
      <c r="U58" s="12"/>
      <c r="V58" s="13">
        <f>IF(OR($G$4="MEDIA",$G$4="BASICA - TERCER CICLO"),ROUND(((S58*$S$11)+(T58*$T$11)+(U58*$U$11)*100)/30%,2),ROUND(((S58*$S$11)+(T58*$T$11)+(U58*$U$11)*100)/30%,2))</f>
        <v>0</v>
      </c>
      <c r="W58" s="12"/>
      <c r="X58" s="14">
        <f>IF(OR($G$4="MEDIA",$G$4="BASICA - TERCER CICLO"),ROUND((W58*$W$11),2),ROUND((W58*$W$11),0))</f>
        <v>0</v>
      </c>
      <c r="Y58" s="47">
        <f>ROUND((L58+R58+V58)/3,1)</f>
        <v>0</v>
      </c>
      <c r="Z58" s="12"/>
      <c r="AA58" s="12"/>
      <c r="AB58" s="12"/>
      <c r="AC58" s="12"/>
      <c r="AD58" s="12"/>
      <c r="AE58" s="46">
        <f>IF(OR($G$4="MEDIA",$G$4="BASICA - TERCER CICLO"),ROUND(((Z58*$Z$11)+(AA58*$AA$11)+(AB58*$AB$11)+(AC58*$AC$11)+(AD58*$AD$11)*100)/35%,2),ROUND((Z58*$Z$11)+(AA58*$AA$11)+(AB58*$AB$11)+(AC58*$AC$11)+(AD58*$AD$11),2))</f>
        <v>0</v>
      </c>
      <c r="AF58" s="12"/>
      <c r="AG58" s="12"/>
      <c r="AH58" s="12"/>
      <c r="AI58" s="12"/>
      <c r="AJ58" s="12"/>
      <c r="AK58" s="46">
        <f>IF(OR($G$4="MEDIA",$G$4="BASICA - TERCER CICLO"),ROUND(((AF58*$AF$11)+(AG58*$AG$11)+(AH58*$AH$11)+(AI58*$AI$11)+(AJ58*$AJ$11)*100)/35%,2),ROUND((AF58*$AF$11)+(AG58*$AG$11)+(AH58*$AH$11)+(AI58*$AI$11)+(AJ58*$AJ$11),2))</f>
        <v>0</v>
      </c>
      <c r="AL58" s="12"/>
      <c r="AM58" s="12"/>
      <c r="AN58" s="12"/>
      <c r="AO58" s="46">
        <f>IF(OR($G$4="MEDIA",$G$4="BASICA - TERCER CICLO"),ROUND(((AL58*$AL$11)+(AM58*$AM$11)+(AN58*$AN$11)*100)/30%,2),ROUND(((AL58*$AL$11)+(AM58*$AM$11)+(AN58*$AN$11)*100)/30%,2))</f>
        <v>0</v>
      </c>
      <c r="AP58" s="12"/>
      <c r="AQ58" s="14">
        <f>IF(OR($G$4="MEDIA",$G$4="BASICA - TERCER CICLO"),ROUND((AP58*$AP$11),2),ROUND((AP58*$AP$11),0))</f>
        <v>0</v>
      </c>
      <c r="AR58" s="47">
        <f>ROUND((AE58+AK58+AO58)/3,1)</f>
        <v>0</v>
      </c>
      <c r="AS58" s="12"/>
      <c r="AT58" s="12"/>
      <c r="AU58" s="12"/>
      <c r="AV58" s="12"/>
      <c r="AW58" s="12"/>
      <c r="AX58" s="46">
        <f>IF(OR($G$4="MEDIA",$G$4="BASICA - TERCER CICLO"),ROUND(((AS58*$AS$11)+(AT58*$AT$11)+(AU58*$AU$11)+(AV58*$AV$11)+(AW58*$AW$11)*100)/35%,2),ROUND((AS58*$AS$11)+(AT58*$AT$11)+(AU58*$AU$11)+(AV58*$AV$11)+(AW58*$AW$11),2))</f>
        <v>0</v>
      </c>
      <c r="AY58" s="12"/>
      <c r="AZ58" s="12"/>
      <c r="BA58" s="12"/>
      <c r="BB58" s="12"/>
      <c r="BC58" s="12"/>
      <c r="BD58" s="46">
        <f>IF(OR($G$4="MEDIA",$G$4="BASICA - TERCER CICLO"),ROUND(((AY58*$AY$11)+(AZ58*$AZ$11)+(BA58*$BA$11)+(BB58*$BB$11)+(BC58*$BC$11)*100)/35%,2),ROUND((AY58*$AY$11)+(AZ58*$AZ$11)+(BA58*$BA$11)+(BB58*$BB$11)+(BC58*$BC$11),2))</f>
        <v>0</v>
      </c>
      <c r="BE58" s="12"/>
      <c r="BF58" s="12"/>
      <c r="BG58" s="12"/>
      <c r="BH58" s="46">
        <f>IF(OR($G$4="MEDIA",$G$4="BASICA - TERCER CICLO"),ROUND(((BE58*$BE$11)+(BF58*$BF$11)+(BG58*$BG$11)*100)/30%,2),ROUND(((BE58*$BE$11)+(BF58*$BF$11)+(BG58*$BG$11)*100)/30%,2))</f>
        <v>0</v>
      </c>
      <c r="BI58" s="12"/>
      <c r="BJ58" s="14">
        <f>IF(OR($G$4="MEDIA",$G$4="BASICA - TERCER CICLO"),ROUND((BI58*$BI$11),2),ROUND((BI58*$BI$11),0))</f>
        <v>0</v>
      </c>
      <c r="BK58" s="47">
        <f>ROUND((AX58+BD58+BH58)/3,1)</f>
        <v>0</v>
      </c>
      <c r="BL58" s="12"/>
      <c r="BM58" s="12"/>
      <c r="BN58" s="12"/>
      <c r="BO58" s="12"/>
      <c r="BP58" s="12"/>
      <c r="BQ58" s="13">
        <f>IF(OR($G$4="MEDIA",$G$4="BASICA - TERCER CICLO"),ROUND(((BL58*$BL$11)+(BM58*$BM$11)+(BN58*$BN$11)+(BO58*$BO$11)+(BP58*$BP$11)*100)/35%,2),ROUND(((BL58*$BL$11)+(BM58*$BM$11)+(BN58*$BN$11)+(BO58*$BO$11)+(BP58*$BP$11)*100)/35%,2))</f>
        <v>0</v>
      </c>
      <c r="BR58" s="12"/>
      <c r="BS58" s="12"/>
      <c r="BT58" s="12"/>
      <c r="BU58" s="12"/>
      <c r="BV58" s="12"/>
      <c r="BW58" s="13">
        <f>IF(OR($G$4="MEDIA",$G$4="BASICA - TERCER CICLO"),ROUND(((BR58*$BR$11)+(BS58*$BS$11)+(BT58*$BT$11)+(BU58*$BU$11)+(BV58*$BV$11)*100)/35%,2),ROUND(((BR58*$BR$11)+(BS58*$BS$11)+(BT58*$BT$11)+(BU58*$BU$11)+(BV58*$BP$11)*100)/35%,2))</f>
        <v>0</v>
      </c>
      <c r="BX58" s="12"/>
      <c r="BY58" s="12"/>
      <c r="BZ58" s="12"/>
      <c r="CA58" s="13">
        <f>IF(OR($G$4="MEDIA",$G$4="BASICA - TERCER CICLO"),ROUND(((BX58*$BX$11)+(BY58*$BY$11)+(BZ58*$BZ$11)*100)/30%,2),ROUND(((BX58*$BX$11)+(BY58*$BY$11)+(BZ58*$BZ$11)*100)/30%,2))</f>
        <v>0</v>
      </c>
      <c r="CB58" s="12"/>
      <c r="CC58" s="14">
        <f>IF(OR($G$4="MEDIA",$G$4="BASICA - TERCER CICLO"),ROUND((CB58*$BI$11),2),ROUND((CB58*$BI$11),0))</f>
        <v>0</v>
      </c>
      <c r="CD58" s="28">
        <f>IF(OR($G$4="MEDIA",$G$4="BASICA - TERCER CICLO"),ROUND((BQ58+BW58+CA58+CC58),1),IF($G$4="BASICA",ROUND((BQ58+BW58+CA58+CC58),0),ROUND((BQ58+BW58+CA58+CC58),1)))</f>
        <v>0</v>
      </c>
      <c r="CE58" s="28">
        <f>IF($G$4 = "MEDIA",ROUND(((Y58+AR58+BK58+CD58)/4),0),ROUND(((Y58+AR58+BK58)/3),0))</f>
        <v>0</v>
      </c>
      <c r="CF58" s="21"/>
      <c r="CG58" s="28">
        <f>IF(AND(CE58&lt;5,$G$4="BASICA"),ROUND((CE58+CF58)/2,0),IF(AND(CE58&lt;6,$G$4="MEDIA"),ROUND((CE58+CF58)/2,0),CE58))</f>
        <v>0</v>
      </c>
      <c r="CH58" s="16" t="str">
        <f>IF($G$4="MEDIA",IF(CG58&gt;=6,"Aprobado","Reprobado"),IF(CG58&gt;=5,"Aprobado","Reprobado"))</f>
        <v>Reprobado</v>
      </c>
    </row>
    <row r="59" spans="1:86" customHeight="1" ht="20.25">
      <c r="A59" s="39">
        <v>47</v>
      </c>
      <c r="B59" s="2">
        <v>20160256</v>
      </c>
      <c r="C59" s="2">
        <v>5487</v>
      </c>
      <c r="D59" s="2">
        <v>26997</v>
      </c>
      <c r="E59" s="2" t="s">
        <v>84</v>
      </c>
      <c r="F59" s="40" t="s">
        <v>39</v>
      </c>
      <c r="G59" s="31"/>
      <c r="H59" s="7"/>
      <c r="I59" s="7"/>
      <c r="J59" s="7"/>
      <c r="K59" s="7"/>
      <c r="L59" s="46">
        <f>IF(OR($G$4="MEDIA",$G$4="BASICA - TERCER CICLO"),ROUND(((G59*$G$11)+(H59*$H$11)+(I59*$I$11)+(J59*$J$11)+(K59*$K$11)*100)/35%,2),ROUND((G59*$G$11)+(H59*$H$11)+(I59*$I$11)+(J59*$J$11)+(K59*$K$11),2))</f>
        <v>0</v>
      </c>
      <c r="M59" s="7"/>
      <c r="N59" s="7"/>
      <c r="O59" s="7"/>
      <c r="P59" s="7"/>
      <c r="Q59" s="7"/>
      <c r="R59" s="46">
        <f>IF(OR($G$4="MEDIA",$G$4="BASICA - TERCER CICLO"),ROUND(((M59*$M$11)+(N59*$N$11)+(O59*$O$11)+(P59*$P$11)+(Q59*$Q$11)*100)/35%,2),ROUND((M59*$M$11)+(N59*$N$11)+(O59*$O$11)+(P59*$P$11)+(Q59*$Q$11),2))</f>
        <v>0</v>
      </c>
      <c r="S59" s="7"/>
      <c r="T59" s="7"/>
      <c r="U59" s="7"/>
      <c r="V59" s="13">
        <f>IF(OR($G$4="MEDIA",$G$4="BASICA - TERCER CICLO"),ROUND(((S59*$S$11)+(T59*$T$11)+(U59*$U$11)*100)/30%,2),ROUND(((S59*$S$11)+(T59*$T$11)+(U59*$U$11)*100)/30%,2))</f>
        <v>0</v>
      </c>
      <c r="W59" s="7"/>
      <c r="X59" s="14">
        <f>IF(OR($G$4="MEDIA",$G$4="BASICA - TERCER CICLO"),ROUND((W59*$W$11),2),ROUND((W59*$W$11),0))</f>
        <v>0</v>
      </c>
      <c r="Y59" s="47">
        <f>ROUND((L59+R59+V59)/3,1)</f>
        <v>0</v>
      </c>
      <c r="Z59" s="7"/>
      <c r="AA59" s="7"/>
      <c r="AB59" s="7"/>
      <c r="AC59" s="7"/>
      <c r="AD59" s="7"/>
      <c r="AE59" s="46">
        <f>IF(OR($G$4="MEDIA",$G$4="BASICA - TERCER CICLO"),ROUND(((Z59*$Z$11)+(AA59*$AA$11)+(AB59*$AB$11)+(AC59*$AC$11)+(AD59*$AD$11)*100)/35%,2),ROUND((Z59*$Z$11)+(AA59*$AA$11)+(AB59*$AB$11)+(AC59*$AC$11)+(AD59*$AD$11),2))</f>
        <v>0</v>
      </c>
      <c r="AF59" s="7"/>
      <c r="AG59" s="7"/>
      <c r="AH59" s="7"/>
      <c r="AI59" s="7"/>
      <c r="AJ59" s="7"/>
      <c r="AK59" s="46">
        <f>IF(OR($G$4="MEDIA",$G$4="BASICA - TERCER CICLO"),ROUND(((AF59*$AF$11)+(AG59*$AG$11)+(AH59*$AH$11)+(AI59*$AI$11)+(AJ59*$AJ$11)*100)/35%,2),ROUND((AF59*$AF$11)+(AG59*$AG$11)+(AH59*$AH$11)+(AI59*$AI$11)+(AJ59*$AJ$11),2))</f>
        <v>0</v>
      </c>
      <c r="AL59" s="7"/>
      <c r="AM59" s="7"/>
      <c r="AN59" s="7"/>
      <c r="AO59" s="46">
        <f>IF(OR($G$4="MEDIA",$G$4="BASICA - TERCER CICLO"),ROUND(((AL59*$AL$11)+(AM59*$AM$11)+(AN59*$AN$11)*100)/30%,2),ROUND(((AL59*$AL$11)+(AM59*$AM$11)+(AN59*$AN$11)*100)/30%,2))</f>
        <v>0</v>
      </c>
      <c r="AP59" s="7"/>
      <c r="AQ59" s="14">
        <f>IF(OR($G$4="MEDIA",$G$4="BASICA - TERCER CICLO"),ROUND((AP59*$AP$11),2),ROUND((AP59*$AP$11),0))</f>
        <v>0</v>
      </c>
      <c r="AR59" s="47">
        <f>ROUND((AE59+AK59+AO59)/3,1)</f>
        <v>0</v>
      </c>
      <c r="AS59" s="7"/>
      <c r="AT59" s="7"/>
      <c r="AU59" s="7"/>
      <c r="AV59" s="7"/>
      <c r="AW59" s="7"/>
      <c r="AX59" s="46">
        <f>IF(OR($G$4="MEDIA",$G$4="BASICA - TERCER CICLO"),ROUND(((AS59*$AS$11)+(AT59*$AT$11)+(AU59*$AU$11)+(AV59*$AV$11)+(AW59*$AW$11)*100)/35%,2),ROUND((AS59*$AS$11)+(AT59*$AT$11)+(AU59*$AU$11)+(AV59*$AV$11)+(AW59*$AW$11),2))</f>
        <v>0</v>
      </c>
      <c r="AY59" s="7"/>
      <c r="AZ59" s="7"/>
      <c r="BA59" s="7"/>
      <c r="BB59" s="7"/>
      <c r="BC59" s="7"/>
      <c r="BD59" s="46">
        <f>IF(OR($G$4="MEDIA",$G$4="BASICA - TERCER CICLO"),ROUND(((AY59*$AY$11)+(AZ59*$AZ$11)+(BA59*$BA$11)+(BB59*$BB$11)+(BC59*$BC$11)*100)/35%,2),ROUND((AY59*$AY$11)+(AZ59*$AZ$11)+(BA59*$BA$11)+(BB59*$BB$11)+(BC59*$BC$11),2))</f>
        <v>0</v>
      </c>
      <c r="BE59" s="7"/>
      <c r="BF59" s="7"/>
      <c r="BG59" s="7"/>
      <c r="BH59" s="46">
        <f>IF(OR($G$4="MEDIA",$G$4="BASICA - TERCER CICLO"),ROUND(((BE59*$BE$11)+(BF59*$BF$11)+(BG59*$BG$11)*100)/30%,2),ROUND(((BE59*$BE$11)+(BF59*$BF$11)+(BG59*$BG$11)*100)/30%,2))</f>
        <v>0</v>
      </c>
      <c r="BI59" s="7"/>
      <c r="BJ59" s="14">
        <f>IF(OR($G$4="MEDIA",$G$4="BASICA - TERCER CICLO"),ROUND((BI59*$BI$11),2),ROUND((BI59*$BI$11),0))</f>
        <v>0</v>
      </c>
      <c r="BK59" s="47">
        <f>ROUND((AX59+BD59+BH59)/3,1)</f>
        <v>0</v>
      </c>
      <c r="BL59" s="7"/>
      <c r="BM59" s="7"/>
      <c r="BN59" s="7"/>
      <c r="BO59" s="7"/>
      <c r="BP59" s="7"/>
      <c r="BQ59" s="13">
        <f>IF(OR($G$4="MEDIA",$G$4="BASICA - TERCER CICLO"),ROUND(((BL59*$BL$11)+(BM59*$BM$11)+(BN59*$BN$11)+(BO59*$BO$11)+(BP59*$BP$11)*100)/35%,2),ROUND(((BL59*$BL$11)+(BM59*$BM$11)+(BN59*$BN$11)+(BO59*$BO$11)+(BP59*$BP$11)*100)/35%,2))</f>
        <v>0</v>
      </c>
      <c r="BR59" s="7"/>
      <c r="BS59" s="7"/>
      <c r="BT59" s="7"/>
      <c r="BU59" s="7"/>
      <c r="BV59" s="7"/>
      <c r="BW59" s="13">
        <f>IF(OR($G$4="MEDIA",$G$4="BASICA - TERCER CICLO"),ROUND(((BR59*$BR$11)+(BS59*$BS$11)+(BT59*$BT$11)+(BU59*$BU$11)+(BV59*$BV$11)*100)/35%,2),ROUND(((BR59*$BR$11)+(BS59*$BS$11)+(BT59*$BT$11)+(BU59*$BU$11)+(BV59*$BP$11)*100)/35%,2))</f>
        <v>0</v>
      </c>
      <c r="BX59" s="7"/>
      <c r="BY59" s="7"/>
      <c r="BZ59" s="7"/>
      <c r="CA59" s="13">
        <f>IF(OR($G$4="MEDIA",$G$4="BASICA - TERCER CICLO"),ROUND(((BX59*$BX$11)+(BY59*$BY$11)+(BZ59*$BZ$11)*100)/30%,2),ROUND(((BX59*$BX$11)+(BY59*$BY$11)+(BZ59*$BZ$11)*100)/30%,2))</f>
        <v>0</v>
      </c>
      <c r="CB59" s="7"/>
      <c r="CC59" s="14">
        <f>IF(OR($G$4="MEDIA",$G$4="BASICA - TERCER CICLO"),ROUND((CB59*$BI$11),2),ROUND((CB59*$BI$11),0))</f>
        <v>0</v>
      </c>
      <c r="CD59" s="28">
        <f>IF(OR($G$4="MEDIA",$G$4="BASICA - TERCER CICLO"),ROUND((BQ59+BW59+CA59+CC59),1),IF($G$4="BASICA",ROUND((BQ59+BW59+CA59+CC59),0),ROUND((BQ59+BW59+CA59+CC59),1)))</f>
        <v>0</v>
      </c>
      <c r="CE59" s="28">
        <f>IF($G$4 = "MEDIA",ROUND(((Y59+AR59+BK59+CD59)/4),0),ROUND(((Y59+AR59+BK59)/3),0))</f>
        <v>0</v>
      </c>
      <c r="CF59" s="20"/>
      <c r="CG59" s="28">
        <f>IF(AND(CE59&lt;5,$G$4="BASICA"),ROUND((CE59+CF59)/2,0),IF(AND(CE59&lt;6,$G$4="MEDIA"),ROUND((CE59+CF59)/2,0),CE59))</f>
        <v>0</v>
      </c>
      <c r="CH59" s="17" t="str">
        <f>IF($G$4="MEDIA",IF(CG59&gt;=6,"Aprobado","Reprobado"),IF(CG59&gt;=5,"Aprobado","Reprobado"))</f>
        <v>Reprobado</v>
      </c>
    </row>
    <row r="60" spans="1:86" customHeight="1" ht="20.25">
      <c r="A60" s="41">
        <v>48</v>
      </c>
      <c r="B60" s="3">
        <v>10522953</v>
      </c>
      <c r="C60" s="3">
        <v>4599</v>
      </c>
      <c r="D60" s="3">
        <v>26998</v>
      </c>
      <c r="E60" s="3" t="s">
        <v>85</v>
      </c>
      <c r="F60" s="42" t="s">
        <v>37</v>
      </c>
      <c r="G60" s="32"/>
      <c r="H60" s="12"/>
      <c r="I60" s="12"/>
      <c r="J60" s="12"/>
      <c r="K60" s="12"/>
      <c r="L60" s="46">
        <f>IF(OR($G$4="MEDIA",$G$4="BASICA - TERCER CICLO"),ROUND(((G60*$G$11)+(H60*$H$11)+(I60*$I$11)+(J60*$J$11)+(K60*$K$11)*100)/35%,2),ROUND((G60*$G$11)+(H60*$H$11)+(I60*$I$11)+(J60*$J$11)+(K60*$K$11),2))</f>
        <v>0</v>
      </c>
      <c r="M60" s="12"/>
      <c r="N60" s="12"/>
      <c r="O60" s="12"/>
      <c r="P60" s="12"/>
      <c r="Q60" s="12"/>
      <c r="R60" s="46">
        <f>IF(OR($G$4="MEDIA",$G$4="BASICA - TERCER CICLO"),ROUND(((M60*$M$11)+(N60*$N$11)+(O60*$O$11)+(P60*$P$11)+(Q60*$Q$11)*100)/35%,2),ROUND((M60*$M$11)+(N60*$N$11)+(O60*$O$11)+(P60*$P$11)+(Q60*$Q$11),2))</f>
        <v>0</v>
      </c>
      <c r="S60" s="12"/>
      <c r="T60" s="12"/>
      <c r="U60" s="12"/>
      <c r="V60" s="13">
        <f>IF(OR($G$4="MEDIA",$G$4="BASICA - TERCER CICLO"),ROUND(((S60*$S$11)+(T60*$T$11)+(U60*$U$11)*100)/30%,2),ROUND(((S60*$S$11)+(T60*$T$11)+(U60*$U$11)*100)/30%,2))</f>
        <v>0</v>
      </c>
      <c r="W60" s="12"/>
      <c r="X60" s="14">
        <f>IF(OR($G$4="MEDIA",$G$4="BASICA - TERCER CICLO"),ROUND((W60*$W$11),2),ROUND((W60*$W$11),0))</f>
        <v>0</v>
      </c>
      <c r="Y60" s="47">
        <f>ROUND((L60+R60+V60)/3,1)</f>
        <v>0</v>
      </c>
      <c r="Z60" s="12"/>
      <c r="AA60" s="12"/>
      <c r="AB60" s="12"/>
      <c r="AC60" s="12"/>
      <c r="AD60" s="12"/>
      <c r="AE60" s="46">
        <f>IF(OR($G$4="MEDIA",$G$4="BASICA - TERCER CICLO"),ROUND(((Z60*$Z$11)+(AA60*$AA$11)+(AB60*$AB$11)+(AC60*$AC$11)+(AD60*$AD$11)*100)/35%,2),ROUND((Z60*$Z$11)+(AA60*$AA$11)+(AB60*$AB$11)+(AC60*$AC$11)+(AD60*$AD$11),2))</f>
        <v>0</v>
      </c>
      <c r="AF60" s="12"/>
      <c r="AG60" s="12"/>
      <c r="AH60" s="12"/>
      <c r="AI60" s="12"/>
      <c r="AJ60" s="12"/>
      <c r="AK60" s="46">
        <f>IF(OR($G$4="MEDIA",$G$4="BASICA - TERCER CICLO"),ROUND(((AF60*$AF$11)+(AG60*$AG$11)+(AH60*$AH$11)+(AI60*$AI$11)+(AJ60*$AJ$11)*100)/35%,2),ROUND((AF60*$AF$11)+(AG60*$AG$11)+(AH60*$AH$11)+(AI60*$AI$11)+(AJ60*$AJ$11),2))</f>
        <v>0</v>
      </c>
      <c r="AL60" s="12"/>
      <c r="AM60" s="12"/>
      <c r="AN60" s="12"/>
      <c r="AO60" s="46">
        <f>IF(OR($G$4="MEDIA",$G$4="BASICA - TERCER CICLO"),ROUND(((AL60*$AL$11)+(AM60*$AM$11)+(AN60*$AN$11)*100)/30%,2),ROUND(((AL60*$AL$11)+(AM60*$AM$11)+(AN60*$AN$11)*100)/30%,2))</f>
        <v>0</v>
      </c>
      <c r="AP60" s="12"/>
      <c r="AQ60" s="14">
        <f>IF(OR($G$4="MEDIA",$G$4="BASICA - TERCER CICLO"),ROUND((AP60*$AP$11),2),ROUND((AP60*$AP$11),0))</f>
        <v>0</v>
      </c>
      <c r="AR60" s="47">
        <f>ROUND((AE60+AK60+AO60)/3,1)</f>
        <v>0</v>
      </c>
      <c r="AS60" s="12"/>
      <c r="AT60" s="12"/>
      <c r="AU60" s="12"/>
      <c r="AV60" s="12"/>
      <c r="AW60" s="12"/>
      <c r="AX60" s="46">
        <f>IF(OR($G$4="MEDIA",$G$4="BASICA - TERCER CICLO"),ROUND(((AS60*$AS$11)+(AT60*$AT$11)+(AU60*$AU$11)+(AV60*$AV$11)+(AW60*$AW$11)*100)/35%,2),ROUND((AS60*$AS$11)+(AT60*$AT$11)+(AU60*$AU$11)+(AV60*$AV$11)+(AW60*$AW$11),2))</f>
        <v>0</v>
      </c>
      <c r="AY60" s="12"/>
      <c r="AZ60" s="12"/>
      <c r="BA60" s="12"/>
      <c r="BB60" s="12"/>
      <c r="BC60" s="12"/>
      <c r="BD60" s="46">
        <f>IF(OR($G$4="MEDIA",$G$4="BASICA - TERCER CICLO"),ROUND(((AY60*$AY$11)+(AZ60*$AZ$11)+(BA60*$BA$11)+(BB60*$BB$11)+(BC60*$BC$11)*100)/35%,2),ROUND((AY60*$AY$11)+(AZ60*$AZ$11)+(BA60*$BA$11)+(BB60*$BB$11)+(BC60*$BC$11),2))</f>
        <v>0</v>
      </c>
      <c r="BE60" s="12"/>
      <c r="BF60" s="12"/>
      <c r="BG60" s="12"/>
      <c r="BH60" s="46">
        <f>IF(OR($G$4="MEDIA",$G$4="BASICA - TERCER CICLO"),ROUND(((BE60*$BE$11)+(BF60*$BF$11)+(BG60*$BG$11)*100)/30%,2),ROUND(((BE60*$BE$11)+(BF60*$BF$11)+(BG60*$BG$11)*100)/30%,2))</f>
        <v>0</v>
      </c>
      <c r="BI60" s="12"/>
      <c r="BJ60" s="14">
        <f>IF(OR($G$4="MEDIA",$G$4="BASICA - TERCER CICLO"),ROUND((BI60*$BI$11),2),ROUND((BI60*$BI$11),0))</f>
        <v>0</v>
      </c>
      <c r="BK60" s="47">
        <f>ROUND((AX60+BD60+BH60)/3,1)</f>
        <v>0</v>
      </c>
      <c r="BL60" s="12"/>
      <c r="BM60" s="12"/>
      <c r="BN60" s="12"/>
      <c r="BO60" s="12"/>
      <c r="BP60" s="12"/>
      <c r="BQ60" s="13">
        <f>IF(OR($G$4="MEDIA",$G$4="BASICA - TERCER CICLO"),ROUND(((BL60*$BL$11)+(BM60*$BM$11)+(BN60*$BN$11)+(BO60*$BO$11)+(BP60*$BP$11)*100)/35%,2),ROUND(((BL60*$BL$11)+(BM60*$BM$11)+(BN60*$BN$11)+(BO60*$BO$11)+(BP60*$BP$11)*100)/35%,2))</f>
        <v>0</v>
      </c>
      <c r="BR60" s="12"/>
      <c r="BS60" s="12"/>
      <c r="BT60" s="12"/>
      <c r="BU60" s="12"/>
      <c r="BV60" s="12"/>
      <c r="BW60" s="13">
        <f>IF(OR($G$4="MEDIA",$G$4="BASICA - TERCER CICLO"),ROUND(((BR60*$BR$11)+(BS60*$BS$11)+(BT60*$BT$11)+(BU60*$BU$11)+(BV60*$BV$11)*100)/35%,2),ROUND(((BR60*$BR$11)+(BS60*$BS$11)+(BT60*$BT$11)+(BU60*$BU$11)+(BV60*$BP$11)*100)/35%,2))</f>
        <v>0</v>
      </c>
      <c r="BX60" s="12"/>
      <c r="BY60" s="12"/>
      <c r="BZ60" s="12"/>
      <c r="CA60" s="13">
        <f>IF(OR($G$4="MEDIA",$G$4="BASICA - TERCER CICLO"),ROUND(((BX60*$BX$11)+(BY60*$BY$11)+(BZ60*$BZ$11)*100)/30%,2),ROUND(((BX60*$BX$11)+(BY60*$BY$11)+(BZ60*$BZ$11)*100)/30%,2))</f>
        <v>0</v>
      </c>
      <c r="CB60" s="12"/>
      <c r="CC60" s="14">
        <f>IF(OR($G$4="MEDIA",$G$4="BASICA - TERCER CICLO"),ROUND((CB60*$BI$11),2),ROUND((CB60*$BI$11),0))</f>
        <v>0</v>
      </c>
      <c r="CD60" s="28">
        <f>IF(OR($G$4="MEDIA",$G$4="BASICA - TERCER CICLO"),ROUND((BQ60+BW60+CA60+CC60),1),IF($G$4="BASICA",ROUND((BQ60+BW60+CA60+CC60),0),ROUND((BQ60+BW60+CA60+CC60),1)))</f>
        <v>0</v>
      </c>
      <c r="CE60" s="28">
        <f>IF($G$4 = "MEDIA",ROUND(((Y60+AR60+BK60+CD60)/4),0),ROUND(((Y60+AR60+BK60)/3),0))</f>
        <v>0</v>
      </c>
      <c r="CF60" s="21"/>
      <c r="CG60" s="28">
        <f>IF(AND(CE60&lt;5,$G$4="BASICA"),ROUND((CE60+CF60)/2,0),IF(AND(CE60&lt;6,$G$4="MEDIA"),ROUND((CE60+CF60)/2,0),CE60))</f>
        <v>0</v>
      </c>
      <c r="CH60" s="16" t="str">
        <f>IF($G$4="MEDIA",IF(CG60&gt;=6,"Aprobado","Reprobado"),IF(CG60&gt;=5,"Aprobado","Reprobado"))</f>
        <v>Reprobado</v>
      </c>
    </row>
    <row r="61" spans="1:86" customHeight="1" ht="20.25">
      <c r="A61" s="39">
        <v>49</v>
      </c>
      <c r="B61" s="2">
        <v>10334113</v>
      </c>
      <c r="C61" s="2">
        <v>5100</v>
      </c>
      <c r="D61" s="2">
        <v>26999</v>
      </c>
      <c r="E61" s="2" t="s">
        <v>86</v>
      </c>
      <c r="F61" s="40" t="s">
        <v>39</v>
      </c>
      <c r="G61" s="31"/>
      <c r="H61" s="7"/>
      <c r="I61" s="7"/>
      <c r="J61" s="7"/>
      <c r="K61" s="7"/>
      <c r="L61" s="46">
        <f>IF(OR($G$4="MEDIA",$G$4="BASICA - TERCER CICLO"),ROUND(((G61*$G$11)+(H61*$H$11)+(I61*$I$11)+(J61*$J$11)+(K61*$K$11)*100)/35%,2),ROUND((G61*$G$11)+(H61*$H$11)+(I61*$I$11)+(J61*$J$11)+(K61*$K$11),2))</f>
        <v>0</v>
      </c>
      <c r="M61" s="7"/>
      <c r="N61" s="7"/>
      <c r="O61" s="7"/>
      <c r="P61" s="7"/>
      <c r="Q61" s="7"/>
      <c r="R61" s="46">
        <f>IF(OR($G$4="MEDIA",$G$4="BASICA - TERCER CICLO"),ROUND(((M61*$M$11)+(N61*$N$11)+(O61*$O$11)+(P61*$P$11)+(Q61*$Q$11)*100)/35%,2),ROUND((M61*$M$11)+(N61*$N$11)+(O61*$O$11)+(P61*$P$11)+(Q61*$Q$11),2))</f>
        <v>0</v>
      </c>
      <c r="S61" s="7"/>
      <c r="T61" s="7"/>
      <c r="U61" s="7"/>
      <c r="V61" s="13">
        <f>IF(OR($G$4="MEDIA",$G$4="BASICA - TERCER CICLO"),ROUND(((S61*$S$11)+(T61*$T$11)+(U61*$U$11)*100)/30%,2),ROUND(((S61*$S$11)+(T61*$T$11)+(U61*$U$11)*100)/30%,2))</f>
        <v>0</v>
      </c>
      <c r="W61" s="7"/>
      <c r="X61" s="14">
        <f>IF(OR($G$4="MEDIA",$G$4="BASICA - TERCER CICLO"),ROUND((W61*$W$11),2),ROUND((W61*$W$11),0))</f>
        <v>0</v>
      </c>
      <c r="Y61" s="47">
        <f>ROUND((L61+R61+V61)/3,1)</f>
        <v>0</v>
      </c>
      <c r="Z61" s="7"/>
      <c r="AA61" s="7"/>
      <c r="AB61" s="7"/>
      <c r="AC61" s="7"/>
      <c r="AD61" s="7"/>
      <c r="AE61" s="46">
        <f>IF(OR($G$4="MEDIA",$G$4="BASICA - TERCER CICLO"),ROUND(((Z61*$Z$11)+(AA61*$AA$11)+(AB61*$AB$11)+(AC61*$AC$11)+(AD61*$AD$11)*100)/35%,2),ROUND((Z61*$Z$11)+(AA61*$AA$11)+(AB61*$AB$11)+(AC61*$AC$11)+(AD61*$AD$11),2))</f>
        <v>0</v>
      </c>
      <c r="AF61" s="7"/>
      <c r="AG61" s="7"/>
      <c r="AH61" s="7"/>
      <c r="AI61" s="7"/>
      <c r="AJ61" s="7"/>
      <c r="AK61" s="46">
        <f>IF(OR($G$4="MEDIA",$G$4="BASICA - TERCER CICLO"),ROUND(((AF61*$AF$11)+(AG61*$AG$11)+(AH61*$AH$11)+(AI61*$AI$11)+(AJ61*$AJ$11)*100)/35%,2),ROUND((AF61*$AF$11)+(AG61*$AG$11)+(AH61*$AH$11)+(AI61*$AI$11)+(AJ61*$AJ$11),2))</f>
        <v>0</v>
      </c>
      <c r="AL61" s="7"/>
      <c r="AM61" s="7"/>
      <c r="AN61" s="7"/>
      <c r="AO61" s="46">
        <f>IF(OR($G$4="MEDIA",$G$4="BASICA - TERCER CICLO"),ROUND(((AL61*$AL$11)+(AM61*$AM$11)+(AN61*$AN$11)*100)/30%,2),ROUND(((AL61*$AL$11)+(AM61*$AM$11)+(AN61*$AN$11)*100)/30%,2))</f>
        <v>0</v>
      </c>
      <c r="AP61" s="7"/>
      <c r="AQ61" s="14">
        <f>IF(OR($G$4="MEDIA",$G$4="BASICA - TERCER CICLO"),ROUND((AP61*$AP$11),2),ROUND((AP61*$AP$11),0))</f>
        <v>0</v>
      </c>
      <c r="AR61" s="47">
        <f>ROUND((AE61+AK61+AO61)/3,1)</f>
        <v>0</v>
      </c>
      <c r="AS61" s="7"/>
      <c r="AT61" s="7"/>
      <c r="AU61" s="7"/>
      <c r="AV61" s="7"/>
      <c r="AW61" s="7"/>
      <c r="AX61" s="46">
        <f>IF(OR($G$4="MEDIA",$G$4="BASICA - TERCER CICLO"),ROUND(((AS61*$AS$11)+(AT61*$AT$11)+(AU61*$AU$11)+(AV61*$AV$11)+(AW61*$AW$11)*100)/35%,2),ROUND((AS61*$AS$11)+(AT61*$AT$11)+(AU61*$AU$11)+(AV61*$AV$11)+(AW61*$AW$11),2))</f>
        <v>0</v>
      </c>
      <c r="AY61" s="7"/>
      <c r="AZ61" s="7"/>
      <c r="BA61" s="7"/>
      <c r="BB61" s="7"/>
      <c r="BC61" s="7"/>
      <c r="BD61" s="46">
        <f>IF(OR($G$4="MEDIA",$G$4="BASICA - TERCER CICLO"),ROUND(((AY61*$AY$11)+(AZ61*$AZ$11)+(BA61*$BA$11)+(BB61*$BB$11)+(BC61*$BC$11)*100)/35%,2),ROUND((AY61*$AY$11)+(AZ61*$AZ$11)+(BA61*$BA$11)+(BB61*$BB$11)+(BC61*$BC$11),2))</f>
        <v>0</v>
      </c>
      <c r="BE61" s="7"/>
      <c r="BF61" s="7"/>
      <c r="BG61" s="7"/>
      <c r="BH61" s="46">
        <f>IF(OR($G$4="MEDIA",$G$4="BASICA - TERCER CICLO"),ROUND(((BE61*$BE$11)+(BF61*$BF$11)+(BG61*$BG$11)*100)/30%,2),ROUND(((BE61*$BE$11)+(BF61*$BF$11)+(BG61*$BG$11)*100)/30%,2))</f>
        <v>0</v>
      </c>
      <c r="BI61" s="7"/>
      <c r="BJ61" s="14">
        <f>IF(OR($G$4="MEDIA",$G$4="BASICA - TERCER CICLO"),ROUND((BI61*$BI$11),2),ROUND((BI61*$BI$11),0))</f>
        <v>0</v>
      </c>
      <c r="BK61" s="47">
        <f>ROUND((AX61+BD61+BH61)/3,1)</f>
        <v>0</v>
      </c>
      <c r="BL61" s="7"/>
      <c r="BM61" s="7"/>
      <c r="BN61" s="7"/>
      <c r="BO61" s="7"/>
      <c r="BP61" s="7"/>
      <c r="BQ61" s="13">
        <f>IF(OR($G$4="MEDIA",$G$4="BASICA - TERCER CICLO"),ROUND(((BL61*$BL$11)+(BM61*$BM$11)+(BN61*$BN$11)+(BO61*$BO$11)+(BP61*$BP$11)*100)/35%,2),ROUND(((BL61*$BL$11)+(BM61*$BM$11)+(BN61*$BN$11)+(BO61*$BO$11)+(BP61*$BP$11)*100)/35%,2))</f>
        <v>0</v>
      </c>
      <c r="BR61" s="7"/>
      <c r="BS61" s="7"/>
      <c r="BT61" s="7"/>
      <c r="BU61" s="7"/>
      <c r="BV61" s="7"/>
      <c r="BW61" s="13">
        <f>IF(OR($G$4="MEDIA",$G$4="BASICA - TERCER CICLO"),ROUND(((BR61*$BR$11)+(BS61*$BS$11)+(BT61*$BT$11)+(BU61*$BU$11)+(BV61*$BV$11)*100)/35%,2),ROUND(((BR61*$BR$11)+(BS61*$BS$11)+(BT61*$BT$11)+(BU61*$BU$11)+(BV61*$BP$11)*100)/35%,2))</f>
        <v>0</v>
      </c>
      <c r="BX61" s="7"/>
      <c r="BY61" s="7"/>
      <c r="BZ61" s="7"/>
      <c r="CA61" s="13">
        <f>IF(OR($G$4="MEDIA",$G$4="BASICA - TERCER CICLO"),ROUND(((BX61*$BX$11)+(BY61*$BY$11)+(BZ61*$BZ$11)*100)/30%,2),ROUND(((BX61*$BX$11)+(BY61*$BY$11)+(BZ61*$BZ$11)*100)/30%,2))</f>
        <v>0</v>
      </c>
      <c r="CB61" s="7"/>
      <c r="CC61" s="14">
        <f>IF(OR($G$4="MEDIA",$G$4="BASICA - TERCER CICLO"),ROUND((CB61*$BI$11),2),ROUND((CB61*$BI$11),0))</f>
        <v>0</v>
      </c>
      <c r="CD61" s="28">
        <f>IF(OR($G$4="MEDIA",$G$4="BASICA - TERCER CICLO"),ROUND((BQ61+BW61+CA61+CC61),1),IF($G$4="BASICA",ROUND((BQ61+BW61+CA61+CC61),0),ROUND((BQ61+BW61+CA61+CC61),1)))</f>
        <v>0</v>
      </c>
      <c r="CE61" s="28">
        <f>IF($G$4 = "MEDIA",ROUND(((Y61+AR61+BK61+CD61)/4),0),ROUND(((Y61+AR61+BK61)/3),0))</f>
        <v>0</v>
      </c>
      <c r="CF61" s="20"/>
      <c r="CG61" s="28">
        <f>IF(AND(CE61&lt;5,$G$4="BASICA"),ROUND((CE61+CF61)/2,0),IF(AND(CE61&lt;6,$G$4="MEDIA"),ROUND((CE61+CF61)/2,0),CE61))</f>
        <v>0</v>
      </c>
      <c r="CH61" s="17" t="str">
        <f>IF($G$4="MEDIA",IF(CG61&gt;=6,"Aprobado","Reprobado"),IF(CG61&gt;=5,"Aprobado","Reprobado"))</f>
        <v>Reprobado</v>
      </c>
    </row>
    <row r="62" spans="1:86" customHeight="1" ht="20.25">
      <c r="A62" s="41">
        <v>50</v>
      </c>
      <c r="B62" s="3">
        <v>10282536</v>
      </c>
      <c r="C62" s="3">
        <v>4400</v>
      </c>
      <c r="D62" s="3">
        <v>27000</v>
      </c>
      <c r="E62" s="3" t="s">
        <v>87</v>
      </c>
      <c r="F62" s="42" t="s">
        <v>39</v>
      </c>
      <c r="G62" s="32"/>
      <c r="H62" s="12"/>
      <c r="I62" s="12"/>
      <c r="J62" s="12"/>
      <c r="K62" s="12"/>
      <c r="L62" s="46">
        <f>IF(OR($G$4="MEDIA",$G$4="BASICA - TERCER CICLO"),ROUND(((G62*$G$11)+(H62*$H$11)+(I62*$I$11)+(J62*$J$11)+(K62*$K$11)*100)/35%,2),ROUND((G62*$G$11)+(H62*$H$11)+(I62*$I$11)+(J62*$J$11)+(K62*$K$11),2))</f>
        <v>0</v>
      </c>
      <c r="M62" s="12"/>
      <c r="N62" s="12"/>
      <c r="O62" s="12"/>
      <c r="P62" s="12"/>
      <c r="Q62" s="12"/>
      <c r="R62" s="46">
        <f>IF(OR($G$4="MEDIA",$G$4="BASICA - TERCER CICLO"),ROUND(((M62*$M$11)+(N62*$N$11)+(O62*$O$11)+(P62*$P$11)+(Q62*$Q$11)*100)/35%,2),ROUND((M62*$M$11)+(N62*$N$11)+(O62*$O$11)+(P62*$P$11)+(Q62*$Q$11),2))</f>
        <v>0</v>
      </c>
      <c r="S62" s="12"/>
      <c r="T62" s="12"/>
      <c r="U62" s="12"/>
      <c r="V62" s="13">
        <f>IF(OR($G$4="MEDIA",$G$4="BASICA - TERCER CICLO"),ROUND(((S62*$S$11)+(T62*$T$11)+(U62*$U$11)*100)/30%,2),ROUND(((S62*$S$11)+(T62*$T$11)+(U62*$U$11)*100)/30%,2))</f>
        <v>0</v>
      </c>
      <c r="W62" s="12"/>
      <c r="X62" s="14">
        <f>IF(OR($G$4="MEDIA",$G$4="BASICA - TERCER CICLO"),ROUND((W62*$W$11),2),ROUND((W62*$W$11),0))</f>
        <v>0</v>
      </c>
      <c r="Y62" s="47">
        <f>ROUND((L62+R62+V62)/3,1)</f>
        <v>0</v>
      </c>
      <c r="Z62" s="12"/>
      <c r="AA62" s="12"/>
      <c r="AB62" s="12"/>
      <c r="AC62" s="12"/>
      <c r="AD62" s="12"/>
      <c r="AE62" s="46">
        <f>IF(OR($G$4="MEDIA",$G$4="BASICA - TERCER CICLO"),ROUND(((Z62*$Z$11)+(AA62*$AA$11)+(AB62*$AB$11)+(AC62*$AC$11)+(AD62*$AD$11)*100)/35%,2),ROUND((Z62*$Z$11)+(AA62*$AA$11)+(AB62*$AB$11)+(AC62*$AC$11)+(AD62*$AD$11),2))</f>
        <v>0</v>
      </c>
      <c r="AF62" s="12"/>
      <c r="AG62" s="12"/>
      <c r="AH62" s="12"/>
      <c r="AI62" s="12"/>
      <c r="AJ62" s="12"/>
      <c r="AK62" s="46">
        <f>IF(OR($G$4="MEDIA",$G$4="BASICA - TERCER CICLO"),ROUND(((AF62*$AF$11)+(AG62*$AG$11)+(AH62*$AH$11)+(AI62*$AI$11)+(AJ62*$AJ$11)*100)/35%,2),ROUND((AF62*$AF$11)+(AG62*$AG$11)+(AH62*$AH$11)+(AI62*$AI$11)+(AJ62*$AJ$11),2))</f>
        <v>0</v>
      </c>
      <c r="AL62" s="12"/>
      <c r="AM62" s="12"/>
      <c r="AN62" s="12"/>
      <c r="AO62" s="46">
        <f>IF(OR($G$4="MEDIA",$G$4="BASICA - TERCER CICLO"),ROUND(((AL62*$AL$11)+(AM62*$AM$11)+(AN62*$AN$11)*100)/30%,2),ROUND(((AL62*$AL$11)+(AM62*$AM$11)+(AN62*$AN$11)*100)/30%,2))</f>
        <v>0</v>
      </c>
      <c r="AP62" s="12"/>
      <c r="AQ62" s="14">
        <f>IF(OR($G$4="MEDIA",$G$4="BASICA - TERCER CICLO"),ROUND((AP62*$AP$11),2),ROUND((AP62*$AP$11),0))</f>
        <v>0</v>
      </c>
      <c r="AR62" s="47">
        <f>ROUND((AE62+AK62+AO62)/3,1)</f>
        <v>0</v>
      </c>
      <c r="AS62" s="12"/>
      <c r="AT62" s="12"/>
      <c r="AU62" s="12"/>
      <c r="AV62" s="12"/>
      <c r="AW62" s="12"/>
      <c r="AX62" s="46">
        <f>IF(OR($G$4="MEDIA",$G$4="BASICA - TERCER CICLO"),ROUND(((AS62*$AS$11)+(AT62*$AT$11)+(AU62*$AU$11)+(AV62*$AV$11)+(AW62*$AW$11)*100)/35%,2),ROUND((AS62*$AS$11)+(AT62*$AT$11)+(AU62*$AU$11)+(AV62*$AV$11)+(AW62*$AW$11),2))</f>
        <v>0</v>
      </c>
      <c r="AY62" s="12"/>
      <c r="AZ62" s="12"/>
      <c r="BA62" s="12"/>
      <c r="BB62" s="12"/>
      <c r="BC62" s="12"/>
      <c r="BD62" s="46">
        <f>IF(OR($G$4="MEDIA",$G$4="BASICA - TERCER CICLO"),ROUND(((AY62*$AY$11)+(AZ62*$AZ$11)+(BA62*$BA$11)+(BB62*$BB$11)+(BC62*$BC$11)*100)/35%,2),ROUND((AY62*$AY$11)+(AZ62*$AZ$11)+(BA62*$BA$11)+(BB62*$BB$11)+(BC62*$BC$11),2))</f>
        <v>0</v>
      </c>
      <c r="BE62" s="12"/>
      <c r="BF62" s="12"/>
      <c r="BG62" s="12"/>
      <c r="BH62" s="46">
        <f>IF(OR($G$4="MEDIA",$G$4="BASICA - TERCER CICLO"),ROUND(((BE62*$BE$11)+(BF62*$BF$11)+(BG62*$BG$11)*100)/30%,2),ROUND(((BE62*$BE$11)+(BF62*$BF$11)+(BG62*$BG$11)*100)/30%,2))</f>
        <v>0</v>
      </c>
      <c r="BI62" s="12"/>
      <c r="BJ62" s="14">
        <f>IF(OR($G$4="MEDIA",$G$4="BASICA - TERCER CICLO"),ROUND((BI62*$BI$11),2),ROUND((BI62*$BI$11),0))</f>
        <v>0</v>
      </c>
      <c r="BK62" s="47">
        <f>ROUND((AX62+BD62+BH62)/3,1)</f>
        <v>0</v>
      </c>
      <c r="BL62" s="12"/>
      <c r="BM62" s="12"/>
      <c r="BN62" s="12"/>
      <c r="BO62" s="12"/>
      <c r="BP62" s="12"/>
      <c r="BQ62" s="13">
        <f>IF(OR($G$4="MEDIA",$G$4="BASICA - TERCER CICLO"),ROUND(((BL62*$BL$11)+(BM62*$BM$11)+(BN62*$BN$11)+(BO62*$BO$11)+(BP62*$BP$11)*100)/35%,2),ROUND(((BL62*$BL$11)+(BM62*$BM$11)+(BN62*$BN$11)+(BO62*$BO$11)+(BP62*$BP$11)*100)/35%,2))</f>
        <v>0</v>
      </c>
      <c r="BR62" s="12"/>
      <c r="BS62" s="12"/>
      <c r="BT62" s="12"/>
      <c r="BU62" s="12"/>
      <c r="BV62" s="12"/>
      <c r="BW62" s="13">
        <f>IF(OR($G$4="MEDIA",$G$4="BASICA - TERCER CICLO"),ROUND(((BR62*$BR$11)+(BS62*$BS$11)+(BT62*$BT$11)+(BU62*$BU$11)+(BV62*$BV$11)*100)/35%,2),ROUND(((BR62*$BR$11)+(BS62*$BS$11)+(BT62*$BT$11)+(BU62*$BU$11)+(BV62*$BP$11)*100)/35%,2))</f>
        <v>0</v>
      </c>
      <c r="BX62" s="12"/>
      <c r="BY62" s="12"/>
      <c r="BZ62" s="12"/>
      <c r="CA62" s="13">
        <f>IF(OR($G$4="MEDIA",$G$4="BASICA - TERCER CICLO"),ROUND(((BX62*$BX$11)+(BY62*$BY$11)+(BZ62*$BZ$11)*100)/30%,2),ROUND(((BX62*$BX$11)+(BY62*$BY$11)+(BZ62*$BZ$11)*100)/30%,2))</f>
        <v>0</v>
      </c>
      <c r="CB62" s="12"/>
      <c r="CC62" s="14">
        <f>IF(OR($G$4="MEDIA",$G$4="BASICA - TERCER CICLO"),ROUND((CB62*$BI$11),2),ROUND((CB62*$BI$11),0))</f>
        <v>0</v>
      </c>
      <c r="CD62" s="28">
        <f>IF(OR($G$4="MEDIA",$G$4="BASICA - TERCER CICLO"),ROUND((BQ62+BW62+CA62+CC62),1),IF($G$4="BASICA",ROUND((BQ62+BW62+CA62+CC62),0),ROUND((BQ62+BW62+CA62+CC62),1)))</f>
        <v>0</v>
      </c>
      <c r="CE62" s="28">
        <f>IF($G$4 = "MEDIA",ROUND(((Y62+AR62+BK62+CD62)/4),0),ROUND(((Y62+AR62+BK62)/3),0))</f>
        <v>0</v>
      </c>
      <c r="CF62" s="21"/>
      <c r="CG62" s="28">
        <f>IF(AND(CE62&lt;5,$G$4="BASICA"),ROUND((CE62+CF62)/2,0),IF(AND(CE62&lt;6,$G$4="MEDIA"),ROUND((CE62+CF62)/2,0),CE62))</f>
        <v>0</v>
      </c>
      <c r="CH62" s="16" t="str">
        <f>IF($G$4="MEDIA",IF(CG62&gt;=6,"Aprobado","Reprobado"),IF(CG62&gt;=5,"Aprobado","Reprobado"))</f>
        <v>Reprobado</v>
      </c>
    </row>
    <row r="63" spans="1:86" customHeight="1" ht="20.25">
      <c r="A63" s="39">
        <v>51</v>
      </c>
      <c r="B63" s="2">
        <v>10353904</v>
      </c>
      <c r="C63" s="2">
        <v>5060</v>
      </c>
      <c r="D63" s="2">
        <v>26967</v>
      </c>
      <c r="E63" s="2" t="s">
        <v>88</v>
      </c>
      <c r="F63" s="40" t="s">
        <v>37</v>
      </c>
      <c r="G63" s="31"/>
      <c r="H63" s="7"/>
      <c r="I63" s="7"/>
      <c r="J63" s="7"/>
      <c r="K63" s="7"/>
      <c r="L63" s="46">
        <f>IF(OR($G$4="MEDIA",$G$4="BASICA - TERCER CICLO"),ROUND(((G63*$G$11)+(H63*$H$11)+(I63*$I$11)+(J63*$J$11)+(K63*$K$11)*100)/35%,2),ROUND((G63*$G$11)+(H63*$H$11)+(I63*$I$11)+(J63*$J$11)+(K63*$K$11),2))</f>
        <v>0</v>
      </c>
      <c r="M63" s="7"/>
      <c r="N63" s="7"/>
      <c r="O63" s="7"/>
      <c r="P63" s="7"/>
      <c r="Q63" s="7"/>
      <c r="R63" s="46">
        <f>IF(OR($G$4="MEDIA",$G$4="BASICA - TERCER CICLO"),ROUND(((M63*$M$11)+(N63*$N$11)+(O63*$O$11)+(P63*$P$11)+(Q63*$Q$11)*100)/35%,2),ROUND((M63*$M$11)+(N63*$N$11)+(O63*$O$11)+(P63*$P$11)+(Q63*$Q$11),2))</f>
        <v>0</v>
      </c>
      <c r="S63" s="7"/>
      <c r="T63" s="7"/>
      <c r="U63" s="7"/>
      <c r="V63" s="13">
        <f>IF(OR($G$4="MEDIA",$G$4="BASICA - TERCER CICLO"),ROUND(((S63*$S$11)+(T63*$T$11)+(U63*$U$11)*100)/30%,2),ROUND(((S63*$S$11)+(T63*$T$11)+(U63*$U$11)*100)/30%,2))</f>
        <v>0</v>
      </c>
      <c r="W63" s="7"/>
      <c r="X63" s="14">
        <f>IF(OR($G$4="MEDIA",$G$4="BASICA - TERCER CICLO"),ROUND((W63*$W$11),2),ROUND((W63*$W$11),0))</f>
        <v>0</v>
      </c>
      <c r="Y63" s="47">
        <f>ROUND((L63+R63+V63)/3,1)</f>
        <v>0</v>
      </c>
      <c r="Z63" s="7"/>
      <c r="AA63" s="7"/>
      <c r="AB63" s="7"/>
      <c r="AC63" s="7"/>
      <c r="AD63" s="7"/>
      <c r="AE63" s="46">
        <f>IF(OR($G$4="MEDIA",$G$4="BASICA - TERCER CICLO"),ROUND(((Z63*$Z$11)+(AA63*$AA$11)+(AB63*$AB$11)+(AC63*$AC$11)+(AD63*$AD$11)*100)/35%,2),ROUND((Z63*$Z$11)+(AA63*$AA$11)+(AB63*$AB$11)+(AC63*$AC$11)+(AD63*$AD$11),2))</f>
        <v>0</v>
      </c>
      <c r="AF63" s="7"/>
      <c r="AG63" s="7"/>
      <c r="AH63" s="7"/>
      <c r="AI63" s="7"/>
      <c r="AJ63" s="7"/>
      <c r="AK63" s="46">
        <f>IF(OR($G$4="MEDIA",$G$4="BASICA - TERCER CICLO"),ROUND(((AF63*$AF$11)+(AG63*$AG$11)+(AH63*$AH$11)+(AI63*$AI$11)+(AJ63*$AJ$11)*100)/35%,2),ROUND((AF63*$AF$11)+(AG63*$AG$11)+(AH63*$AH$11)+(AI63*$AI$11)+(AJ63*$AJ$11),2))</f>
        <v>0</v>
      </c>
      <c r="AL63" s="7"/>
      <c r="AM63" s="7"/>
      <c r="AN63" s="7"/>
      <c r="AO63" s="46">
        <f>IF(OR($G$4="MEDIA",$G$4="BASICA - TERCER CICLO"),ROUND(((AL63*$AL$11)+(AM63*$AM$11)+(AN63*$AN$11)*100)/30%,2),ROUND(((AL63*$AL$11)+(AM63*$AM$11)+(AN63*$AN$11)*100)/30%,2))</f>
        <v>0</v>
      </c>
      <c r="AP63" s="7"/>
      <c r="AQ63" s="14">
        <f>IF(OR($G$4="MEDIA",$G$4="BASICA - TERCER CICLO"),ROUND((AP63*$AP$11),2),ROUND((AP63*$AP$11),0))</f>
        <v>0</v>
      </c>
      <c r="AR63" s="47">
        <f>ROUND((AE63+AK63+AO63)/3,1)</f>
        <v>0</v>
      </c>
      <c r="AS63" s="7"/>
      <c r="AT63" s="7"/>
      <c r="AU63" s="7"/>
      <c r="AV63" s="7"/>
      <c r="AW63" s="7"/>
      <c r="AX63" s="46">
        <f>IF(OR($G$4="MEDIA",$G$4="BASICA - TERCER CICLO"),ROUND(((AS63*$AS$11)+(AT63*$AT$11)+(AU63*$AU$11)+(AV63*$AV$11)+(AW63*$AW$11)*100)/35%,2),ROUND((AS63*$AS$11)+(AT63*$AT$11)+(AU63*$AU$11)+(AV63*$AV$11)+(AW63*$AW$11),2))</f>
        <v>0</v>
      </c>
      <c r="AY63" s="7"/>
      <c r="AZ63" s="7"/>
      <c r="BA63" s="7"/>
      <c r="BB63" s="7"/>
      <c r="BC63" s="7"/>
      <c r="BD63" s="46">
        <f>IF(OR($G$4="MEDIA",$G$4="BASICA - TERCER CICLO"),ROUND(((AY63*$AY$11)+(AZ63*$AZ$11)+(BA63*$BA$11)+(BB63*$BB$11)+(BC63*$BC$11)*100)/35%,2),ROUND((AY63*$AY$11)+(AZ63*$AZ$11)+(BA63*$BA$11)+(BB63*$BB$11)+(BC63*$BC$11),2))</f>
        <v>0</v>
      </c>
      <c r="BE63" s="7"/>
      <c r="BF63" s="7"/>
      <c r="BG63" s="7"/>
      <c r="BH63" s="46">
        <f>IF(OR($G$4="MEDIA",$G$4="BASICA - TERCER CICLO"),ROUND(((BE63*$BE$11)+(BF63*$BF$11)+(BG63*$BG$11)*100)/30%,2),ROUND(((BE63*$BE$11)+(BF63*$BF$11)+(BG63*$BG$11)*100)/30%,2))</f>
        <v>0</v>
      </c>
      <c r="BI63" s="7"/>
      <c r="BJ63" s="14">
        <f>IF(OR($G$4="MEDIA",$G$4="BASICA - TERCER CICLO"),ROUND((BI63*$BI$11),2),ROUND((BI63*$BI$11),0))</f>
        <v>0</v>
      </c>
      <c r="BK63" s="47">
        <f>ROUND((AX63+BD63+BH63)/3,1)</f>
        <v>0</v>
      </c>
      <c r="BL63" s="7"/>
      <c r="BM63" s="7"/>
      <c r="BN63" s="7"/>
      <c r="BO63" s="7"/>
      <c r="BP63" s="7"/>
      <c r="BQ63" s="13">
        <f>IF(OR($G$4="MEDIA",$G$4="BASICA - TERCER CICLO"),ROUND(((BL63*$BL$11)+(BM63*$BM$11)+(BN63*$BN$11)+(BO63*$BO$11)+(BP63*$BP$11)*100)/35%,2),ROUND(((BL63*$BL$11)+(BM63*$BM$11)+(BN63*$BN$11)+(BO63*$BO$11)+(BP63*$BP$11)*100)/35%,2))</f>
        <v>0</v>
      </c>
      <c r="BR63" s="7"/>
      <c r="BS63" s="7"/>
      <c r="BT63" s="7"/>
      <c r="BU63" s="7"/>
      <c r="BV63" s="7"/>
      <c r="BW63" s="13">
        <f>IF(OR($G$4="MEDIA",$G$4="BASICA - TERCER CICLO"),ROUND(((BR63*$BR$11)+(BS63*$BS$11)+(BT63*$BT$11)+(BU63*$BU$11)+(BV63*$BV$11)*100)/35%,2),ROUND(((BR63*$BR$11)+(BS63*$BS$11)+(BT63*$BT$11)+(BU63*$BU$11)+(BV63*$BP$11)*100)/35%,2))</f>
        <v>0</v>
      </c>
      <c r="BX63" s="7"/>
      <c r="BY63" s="7"/>
      <c r="BZ63" s="7"/>
      <c r="CA63" s="13">
        <f>IF(OR($G$4="MEDIA",$G$4="BASICA - TERCER CICLO"),ROUND(((BX63*$BX$11)+(BY63*$BY$11)+(BZ63*$BZ$11)*100)/30%,2),ROUND(((BX63*$BX$11)+(BY63*$BY$11)+(BZ63*$BZ$11)*100)/30%,2))</f>
        <v>0</v>
      </c>
      <c r="CB63" s="7"/>
      <c r="CC63" s="14">
        <f>IF(OR($G$4="MEDIA",$G$4="BASICA - TERCER CICLO"),ROUND((CB63*$BI$11),2),ROUND((CB63*$BI$11),0))</f>
        <v>0</v>
      </c>
      <c r="CD63" s="28">
        <f>IF(OR($G$4="MEDIA",$G$4="BASICA - TERCER CICLO"),ROUND((BQ63+BW63+CA63+CC63),1),IF($G$4="BASICA",ROUND((BQ63+BW63+CA63+CC63),0),ROUND((BQ63+BW63+CA63+CC63),1)))</f>
        <v>0</v>
      </c>
      <c r="CE63" s="28">
        <f>IF($G$4 = "MEDIA",ROUND(((Y63+AR63+BK63+CD63)/4),0),ROUND(((Y63+AR63+BK63)/3),0))</f>
        <v>0</v>
      </c>
      <c r="CF63" s="20"/>
      <c r="CG63" s="28">
        <f>IF(AND(CE63&lt;5,$G$4="BASICA"),ROUND((CE63+CF63)/2,0),IF(AND(CE63&lt;6,$G$4="MEDIA"),ROUND((CE63+CF63)/2,0),CE63))</f>
        <v>0</v>
      </c>
      <c r="CH63" s="17" t="str">
        <f>IF($G$4="MEDIA",IF(CG63&gt;=6,"Aprobado","Reprobado"),IF(CG63&gt;=5,"Aprobado","Reprobado"))</f>
        <v>Reprobado</v>
      </c>
    </row>
    <row r="64" spans="1:86" customHeight="1" ht="20.25">
      <c r="A64" s="41">
        <v>52</v>
      </c>
      <c r="B64" s="3">
        <v>10795807</v>
      </c>
      <c r="C64" s="3">
        <v>5839</v>
      </c>
      <c r="D64" s="3">
        <v>27001</v>
      </c>
      <c r="E64" s="3" t="s">
        <v>89</v>
      </c>
      <c r="F64" s="42" t="s">
        <v>37</v>
      </c>
      <c r="G64" s="32"/>
      <c r="H64" s="12"/>
      <c r="I64" s="12"/>
      <c r="J64" s="12"/>
      <c r="K64" s="12"/>
      <c r="L64" s="46">
        <f>IF(OR($G$4="MEDIA",$G$4="BASICA - TERCER CICLO"),ROUND(((G64*$G$11)+(H64*$H$11)+(I64*$I$11)+(J64*$J$11)+(K64*$K$11)*100)/35%,2),ROUND((G64*$G$11)+(H64*$H$11)+(I64*$I$11)+(J64*$J$11)+(K64*$K$11),2))</f>
        <v>0</v>
      </c>
      <c r="M64" s="12"/>
      <c r="N64" s="12"/>
      <c r="O64" s="12"/>
      <c r="P64" s="12"/>
      <c r="Q64" s="12"/>
      <c r="R64" s="46">
        <f>IF(OR($G$4="MEDIA",$G$4="BASICA - TERCER CICLO"),ROUND(((M64*$M$11)+(N64*$N$11)+(O64*$O$11)+(P64*$P$11)+(Q64*$Q$11)*100)/35%,2),ROUND((M64*$M$11)+(N64*$N$11)+(O64*$O$11)+(P64*$P$11)+(Q64*$Q$11),2))</f>
        <v>0</v>
      </c>
      <c r="S64" s="12"/>
      <c r="T64" s="12"/>
      <c r="U64" s="12"/>
      <c r="V64" s="13">
        <f>IF(OR($G$4="MEDIA",$G$4="BASICA - TERCER CICLO"),ROUND(((S64*$S$11)+(T64*$T$11)+(U64*$U$11)*100)/30%,2),ROUND(((S64*$S$11)+(T64*$T$11)+(U64*$U$11)*100)/30%,2))</f>
        <v>0</v>
      </c>
      <c r="W64" s="12"/>
      <c r="X64" s="14">
        <f>IF(OR($G$4="MEDIA",$G$4="BASICA - TERCER CICLO"),ROUND((W64*$W$11),2),ROUND((W64*$W$11),0))</f>
        <v>0</v>
      </c>
      <c r="Y64" s="47">
        <f>ROUND((L64+R64+V64)/3,1)</f>
        <v>0</v>
      </c>
      <c r="Z64" s="12"/>
      <c r="AA64" s="12"/>
      <c r="AB64" s="12"/>
      <c r="AC64" s="12"/>
      <c r="AD64" s="12"/>
      <c r="AE64" s="46">
        <f>IF(OR($G$4="MEDIA",$G$4="BASICA - TERCER CICLO"),ROUND(((Z64*$Z$11)+(AA64*$AA$11)+(AB64*$AB$11)+(AC64*$AC$11)+(AD64*$AD$11)*100)/35%,2),ROUND((Z64*$Z$11)+(AA64*$AA$11)+(AB64*$AB$11)+(AC64*$AC$11)+(AD64*$AD$11),2))</f>
        <v>0</v>
      </c>
      <c r="AF64" s="12"/>
      <c r="AG64" s="12"/>
      <c r="AH64" s="12"/>
      <c r="AI64" s="12"/>
      <c r="AJ64" s="12"/>
      <c r="AK64" s="46">
        <f>IF(OR($G$4="MEDIA",$G$4="BASICA - TERCER CICLO"),ROUND(((AF64*$AF$11)+(AG64*$AG$11)+(AH64*$AH$11)+(AI64*$AI$11)+(AJ64*$AJ$11)*100)/35%,2),ROUND((AF64*$AF$11)+(AG64*$AG$11)+(AH64*$AH$11)+(AI64*$AI$11)+(AJ64*$AJ$11),2))</f>
        <v>0</v>
      </c>
      <c r="AL64" s="12"/>
      <c r="AM64" s="12"/>
      <c r="AN64" s="12"/>
      <c r="AO64" s="46">
        <f>IF(OR($G$4="MEDIA",$G$4="BASICA - TERCER CICLO"),ROUND(((AL64*$AL$11)+(AM64*$AM$11)+(AN64*$AN$11)*100)/30%,2),ROUND(((AL64*$AL$11)+(AM64*$AM$11)+(AN64*$AN$11)*100)/30%,2))</f>
        <v>0</v>
      </c>
      <c r="AP64" s="12"/>
      <c r="AQ64" s="14">
        <f>IF(OR($G$4="MEDIA",$G$4="BASICA - TERCER CICLO"),ROUND((AP64*$AP$11),2),ROUND((AP64*$AP$11),0))</f>
        <v>0</v>
      </c>
      <c r="AR64" s="47">
        <f>ROUND((AE64+AK64+AO64)/3,1)</f>
        <v>0</v>
      </c>
      <c r="AS64" s="12"/>
      <c r="AT64" s="12"/>
      <c r="AU64" s="12"/>
      <c r="AV64" s="12"/>
      <c r="AW64" s="12"/>
      <c r="AX64" s="46">
        <f>IF(OR($G$4="MEDIA",$G$4="BASICA - TERCER CICLO"),ROUND(((AS64*$AS$11)+(AT64*$AT$11)+(AU64*$AU$11)+(AV64*$AV$11)+(AW64*$AW$11)*100)/35%,2),ROUND((AS64*$AS$11)+(AT64*$AT$11)+(AU64*$AU$11)+(AV64*$AV$11)+(AW64*$AW$11),2))</f>
        <v>0</v>
      </c>
      <c r="AY64" s="12"/>
      <c r="AZ64" s="12"/>
      <c r="BA64" s="12"/>
      <c r="BB64" s="12"/>
      <c r="BC64" s="12"/>
      <c r="BD64" s="46">
        <f>IF(OR($G$4="MEDIA",$G$4="BASICA - TERCER CICLO"),ROUND(((AY64*$AY$11)+(AZ64*$AZ$11)+(BA64*$BA$11)+(BB64*$BB$11)+(BC64*$BC$11)*100)/35%,2),ROUND((AY64*$AY$11)+(AZ64*$AZ$11)+(BA64*$BA$11)+(BB64*$BB$11)+(BC64*$BC$11),2))</f>
        <v>0</v>
      </c>
      <c r="BE64" s="12"/>
      <c r="BF64" s="12"/>
      <c r="BG64" s="12"/>
      <c r="BH64" s="46">
        <f>IF(OR($G$4="MEDIA",$G$4="BASICA - TERCER CICLO"),ROUND(((BE64*$BE$11)+(BF64*$BF$11)+(BG64*$BG$11)*100)/30%,2),ROUND(((BE64*$BE$11)+(BF64*$BF$11)+(BG64*$BG$11)*100)/30%,2))</f>
        <v>0</v>
      </c>
      <c r="BI64" s="12"/>
      <c r="BJ64" s="14">
        <f>IF(OR($G$4="MEDIA",$G$4="BASICA - TERCER CICLO"),ROUND((BI64*$BI$11),2),ROUND((BI64*$BI$11),0))</f>
        <v>0</v>
      </c>
      <c r="BK64" s="47">
        <f>ROUND((AX64+BD64+BH64)/3,1)</f>
        <v>0</v>
      </c>
      <c r="BL64" s="12"/>
      <c r="BM64" s="12"/>
      <c r="BN64" s="12"/>
      <c r="BO64" s="12"/>
      <c r="BP64" s="12"/>
      <c r="BQ64" s="13">
        <f>IF(OR($G$4="MEDIA",$G$4="BASICA - TERCER CICLO"),ROUND(((BL64*$BL$11)+(BM64*$BM$11)+(BN64*$BN$11)+(BO64*$BO$11)+(BP64*$BP$11)*100)/35%,2),ROUND(((BL64*$BL$11)+(BM64*$BM$11)+(BN64*$BN$11)+(BO64*$BO$11)+(BP64*$BP$11)*100)/35%,2))</f>
        <v>0</v>
      </c>
      <c r="BR64" s="12"/>
      <c r="BS64" s="12"/>
      <c r="BT64" s="12"/>
      <c r="BU64" s="12"/>
      <c r="BV64" s="12"/>
      <c r="BW64" s="13">
        <f>IF(OR($G$4="MEDIA",$G$4="BASICA - TERCER CICLO"),ROUND(((BR64*$BR$11)+(BS64*$BS$11)+(BT64*$BT$11)+(BU64*$BU$11)+(BV64*$BV$11)*100)/35%,2),ROUND(((BR64*$BR$11)+(BS64*$BS$11)+(BT64*$BT$11)+(BU64*$BU$11)+(BV64*$BP$11)*100)/35%,2))</f>
        <v>0</v>
      </c>
      <c r="BX64" s="12"/>
      <c r="BY64" s="12"/>
      <c r="BZ64" s="12"/>
      <c r="CA64" s="13">
        <f>IF(OR($G$4="MEDIA",$G$4="BASICA - TERCER CICLO"),ROUND(((BX64*$BX$11)+(BY64*$BY$11)+(BZ64*$BZ$11)*100)/30%,2),ROUND(((BX64*$BX$11)+(BY64*$BY$11)+(BZ64*$BZ$11)*100)/30%,2))</f>
        <v>0</v>
      </c>
      <c r="CB64" s="12"/>
      <c r="CC64" s="14">
        <f>IF(OR($G$4="MEDIA",$G$4="BASICA - TERCER CICLO"),ROUND((CB64*$BI$11),2),ROUND((CB64*$BI$11),0))</f>
        <v>0</v>
      </c>
      <c r="CD64" s="28">
        <f>IF(OR($G$4="MEDIA",$G$4="BASICA - TERCER CICLO"),ROUND((BQ64+BW64+CA64+CC64),1),IF($G$4="BASICA",ROUND((BQ64+BW64+CA64+CC64),0),ROUND((BQ64+BW64+CA64+CC64),1)))</f>
        <v>0</v>
      </c>
      <c r="CE64" s="28">
        <f>IF($G$4 = "MEDIA",ROUND(((Y64+AR64+BK64+CD64)/4),0),ROUND(((Y64+AR64+BK64)/3),0))</f>
        <v>0</v>
      </c>
      <c r="CF64" s="21"/>
      <c r="CG64" s="28">
        <f>IF(AND(CE64&lt;5,$G$4="BASICA"),ROUND((CE64+CF64)/2,0),IF(AND(CE64&lt;6,$G$4="MEDIA"),ROUND((CE64+CF64)/2,0),CE64))</f>
        <v>0</v>
      </c>
      <c r="CH64" s="16" t="str">
        <f>IF($G$4="MEDIA",IF(CG64&gt;=6,"Aprobado","Reprobado"),IF(CG64&gt;=5,"Aprobado","Reprobado"))</f>
        <v>Reprobado</v>
      </c>
    </row>
    <row r="65" spans="1:86" customHeight="1" ht="20.25">
      <c r="A65" s="39">
        <v>53</v>
      </c>
      <c r="B65" s="2">
        <v>10335670</v>
      </c>
      <c r="C65" s="2">
        <v>5050</v>
      </c>
      <c r="D65" s="2">
        <v>27002</v>
      </c>
      <c r="E65" s="2" t="s">
        <v>90</v>
      </c>
      <c r="F65" s="40" t="s">
        <v>37</v>
      </c>
      <c r="G65" s="31"/>
      <c r="H65" s="7"/>
      <c r="I65" s="7"/>
      <c r="J65" s="7"/>
      <c r="K65" s="7"/>
      <c r="L65" s="46">
        <f>IF(OR($G$4="MEDIA",$G$4="BASICA - TERCER CICLO"),ROUND(((G65*$G$11)+(H65*$H$11)+(I65*$I$11)+(J65*$J$11)+(K65*$K$11)*100)/35%,2),ROUND((G65*$G$11)+(H65*$H$11)+(I65*$I$11)+(J65*$J$11)+(K65*$K$11),2))</f>
        <v>0</v>
      </c>
      <c r="M65" s="7"/>
      <c r="N65" s="7"/>
      <c r="O65" s="7"/>
      <c r="P65" s="7"/>
      <c r="Q65" s="7"/>
      <c r="R65" s="46">
        <f>IF(OR($G$4="MEDIA",$G$4="BASICA - TERCER CICLO"),ROUND(((M65*$M$11)+(N65*$N$11)+(O65*$O$11)+(P65*$P$11)+(Q65*$Q$11)*100)/35%,2),ROUND((M65*$M$11)+(N65*$N$11)+(O65*$O$11)+(P65*$P$11)+(Q65*$Q$11),2))</f>
        <v>0</v>
      </c>
      <c r="S65" s="7"/>
      <c r="T65" s="7"/>
      <c r="U65" s="7"/>
      <c r="V65" s="13">
        <f>IF(OR($G$4="MEDIA",$G$4="BASICA - TERCER CICLO"),ROUND(((S65*$S$11)+(T65*$T$11)+(U65*$U$11)*100)/30%,2),ROUND(((S65*$S$11)+(T65*$T$11)+(U65*$U$11)*100)/30%,2))</f>
        <v>0</v>
      </c>
      <c r="W65" s="7"/>
      <c r="X65" s="14">
        <f>IF(OR($G$4="MEDIA",$G$4="BASICA - TERCER CICLO"),ROUND((W65*$W$11),2),ROUND((W65*$W$11),0))</f>
        <v>0</v>
      </c>
      <c r="Y65" s="47">
        <f>ROUND((L65+R65+V65)/3,1)</f>
        <v>0</v>
      </c>
      <c r="Z65" s="7"/>
      <c r="AA65" s="7"/>
      <c r="AB65" s="7"/>
      <c r="AC65" s="7"/>
      <c r="AD65" s="7"/>
      <c r="AE65" s="46">
        <f>IF(OR($G$4="MEDIA",$G$4="BASICA - TERCER CICLO"),ROUND(((Z65*$Z$11)+(AA65*$AA$11)+(AB65*$AB$11)+(AC65*$AC$11)+(AD65*$AD$11)*100)/35%,2),ROUND((Z65*$Z$11)+(AA65*$AA$11)+(AB65*$AB$11)+(AC65*$AC$11)+(AD65*$AD$11),2))</f>
        <v>0</v>
      </c>
      <c r="AF65" s="7"/>
      <c r="AG65" s="7"/>
      <c r="AH65" s="7"/>
      <c r="AI65" s="7"/>
      <c r="AJ65" s="7"/>
      <c r="AK65" s="46">
        <f>IF(OR($G$4="MEDIA",$G$4="BASICA - TERCER CICLO"),ROUND(((AF65*$AF$11)+(AG65*$AG$11)+(AH65*$AH$11)+(AI65*$AI$11)+(AJ65*$AJ$11)*100)/35%,2),ROUND((AF65*$AF$11)+(AG65*$AG$11)+(AH65*$AH$11)+(AI65*$AI$11)+(AJ65*$AJ$11),2))</f>
        <v>0</v>
      </c>
      <c r="AL65" s="7"/>
      <c r="AM65" s="7"/>
      <c r="AN65" s="7"/>
      <c r="AO65" s="46">
        <f>IF(OR($G$4="MEDIA",$G$4="BASICA - TERCER CICLO"),ROUND(((AL65*$AL$11)+(AM65*$AM$11)+(AN65*$AN$11)*100)/30%,2),ROUND(((AL65*$AL$11)+(AM65*$AM$11)+(AN65*$AN$11)*100)/30%,2))</f>
        <v>0</v>
      </c>
      <c r="AP65" s="7"/>
      <c r="AQ65" s="14">
        <f>IF(OR($G$4="MEDIA",$G$4="BASICA - TERCER CICLO"),ROUND((AP65*$AP$11),2),ROUND((AP65*$AP$11),0))</f>
        <v>0</v>
      </c>
      <c r="AR65" s="47">
        <f>ROUND((AE65+AK65+AO65)/3,1)</f>
        <v>0</v>
      </c>
      <c r="AS65" s="7"/>
      <c r="AT65" s="7"/>
      <c r="AU65" s="7"/>
      <c r="AV65" s="7"/>
      <c r="AW65" s="7"/>
      <c r="AX65" s="46">
        <f>IF(OR($G$4="MEDIA",$G$4="BASICA - TERCER CICLO"),ROUND(((AS65*$AS$11)+(AT65*$AT$11)+(AU65*$AU$11)+(AV65*$AV$11)+(AW65*$AW$11)*100)/35%,2),ROUND((AS65*$AS$11)+(AT65*$AT$11)+(AU65*$AU$11)+(AV65*$AV$11)+(AW65*$AW$11),2))</f>
        <v>0</v>
      </c>
      <c r="AY65" s="7"/>
      <c r="AZ65" s="7"/>
      <c r="BA65" s="7"/>
      <c r="BB65" s="7"/>
      <c r="BC65" s="7"/>
      <c r="BD65" s="46">
        <f>IF(OR($G$4="MEDIA",$G$4="BASICA - TERCER CICLO"),ROUND(((AY65*$AY$11)+(AZ65*$AZ$11)+(BA65*$BA$11)+(BB65*$BB$11)+(BC65*$BC$11)*100)/35%,2),ROUND((AY65*$AY$11)+(AZ65*$AZ$11)+(BA65*$BA$11)+(BB65*$BB$11)+(BC65*$BC$11),2))</f>
        <v>0</v>
      </c>
      <c r="BE65" s="7"/>
      <c r="BF65" s="7"/>
      <c r="BG65" s="7"/>
      <c r="BH65" s="46">
        <f>IF(OR($G$4="MEDIA",$G$4="BASICA - TERCER CICLO"),ROUND(((BE65*$BE$11)+(BF65*$BF$11)+(BG65*$BG$11)*100)/30%,2),ROUND(((BE65*$BE$11)+(BF65*$BF$11)+(BG65*$BG$11)*100)/30%,2))</f>
        <v>0</v>
      </c>
      <c r="BI65" s="7"/>
      <c r="BJ65" s="14">
        <f>IF(OR($G$4="MEDIA",$G$4="BASICA - TERCER CICLO"),ROUND((BI65*$BI$11),2),ROUND((BI65*$BI$11),0))</f>
        <v>0</v>
      </c>
      <c r="BK65" s="47">
        <f>ROUND((AX65+BD65+BH65)/3,1)</f>
        <v>0</v>
      </c>
      <c r="BL65" s="7"/>
      <c r="BM65" s="7"/>
      <c r="BN65" s="7"/>
      <c r="BO65" s="7"/>
      <c r="BP65" s="7"/>
      <c r="BQ65" s="13">
        <f>IF(OR($G$4="MEDIA",$G$4="BASICA - TERCER CICLO"),ROUND(((BL65*$BL$11)+(BM65*$BM$11)+(BN65*$BN$11)+(BO65*$BO$11)+(BP65*$BP$11)*100)/35%,2),ROUND(((BL65*$BL$11)+(BM65*$BM$11)+(BN65*$BN$11)+(BO65*$BO$11)+(BP65*$BP$11)*100)/35%,2))</f>
        <v>0</v>
      </c>
      <c r="BR65" s="7"/>
      <c r="BS65" s="7"/>
      <c r="BT65" s="7"/>
      <c r="BU65" s="7"/>
      <c r="BV65" s="7"/>
      <c r="BW65" s="13">
        <f>IF(OR($G$4="MEDIA",$G$4="BASICA - TERCER CICLO"),ROUND(((BR65*$BR$11)+(BS65*$BS$11)+(BT65*$BT$11)+(BU65*$BU$11)+(BV65*$BV$11)*100)/35%,2),ROUND(((BR65*$BR$11)+(BS65*$BS$11)+(BT65*$BT$11)+(BU65*$BU$11)+(BV65*$BP$11)*100)/35%,2))</f>
        <v>0</v>
      </c>
      <c r="BX65" s="7"/>
      <c r="BY65" s="7"/>
      <c r="BZ65" s="7"/>
      <c r="CA65" s="13">
        <f>IF(OR($G$4="MEDIA",$G$4="BASICA - TERCER CICLO"),ROUND(((BX65*$BX$11)+(BY65*$BY$11)+(BZ65*$BZ$11)*100)/30%,2),ROUND(((BX65*$BX$11)+(BY65*$BY$11)+(BZ65*$BZ$11)*100)/30%,2))</f>
        <v>0</v>
      </c>
      <c r="CB65" s="7"/>
      <c r="CC65" s="14">
        <f>IF(OR($G$4="MEDIA",$G$4="BASICA - TERCER CICLO"),ROUND((CB65*$BI$11),2),ROUND((CB65*$BI$11),0))</f>
        <v>0</v>
      </c>
      <c r="CD65" s="28">
        <f>IF(OR($G$4="MEDIA",$G$4="BASICA - TERCER CICLO"),ROUND((BQ65+BW65+CA65+CC65),1),IF($G$4="BASICA",ROUND((BQ65+BW65+CA65+CC65),0),ROUND((BQ65+BW65+CA65+CC65),1)))</f>
        <v>0</v>
      </c>
      <c r="CE65" s="28">
        <f>IF($G$4 = "MEDIA",ROUND(((Y65+AR65+BK65+CD65)/4),0),ROUND(((Y65+AR65+BK65)/3),0))</f>
        <v>0</v>
      </c>
      <c r="CF65" s="20"/>
      <c r="CG65" s="28">
        <f>IF(AND(CE65&lt;5,$G$4="BASICA"),ROUND((CE65+CF65)/2,0),IF(AND(CE65&lt;6,$G$4="MEDIA"),ROUND((CE65+CF65)/2,0),CE65))</f>
        <v>0</v>
      </c>
      <c r="CH65" s="17" t="str">
        <f>IF($G$4="MEDIA",IF(CG65&gt;=6,"Aprobado","Reprobado"),IF(CG65&gt;=5,"Aprobado","Reprobado"))</f>
        <v>Reprobado</v>
      </c>
    </row>
    <row r="66" spans="1:86" customHeight="1" ht="20.25">
      <c r="A66" s="41">
        <v>54</v>
      </c>
      <c r="B66" s="3">
        <v>10282545</v>
      </c>
      <c r="C66" s="3">
        <v>4404</v>
      </c>
      <c r="D66" s="3">
        <v>27003</v>
      </c>
      <c r="E66" s="3" t="s">
        <v>91</v>
      </c>
      <c r="F66" s="42" t="s">
        <v>37</v>
      </c>
      <c r="G66" s="32"/>
      <c r="H66" s="12"/>
      <c r="I66" s="12"/>
      <c r="J66" s="12"/>
      <c r="K66" s="12"/>
      <c r="L66" s="46">
        <f>IF(OR($G$4="MEDIA",$G$4="BASICA - TERCER CICLO"),ROUND(((G66*$G$11)+(H66*$H$11)+(I66*$I$11)+(J66*$J$11)+(K66*$K$11)*100)/35%,2),ROUND((G66*$G$11)+(H66*$H$11)+(I66*$I$11)+(J66*$J$11)+(K66*$K$11),2))</f>
        <v>0</v>
      </c>
      <c r="M66" s="12"/>
      <c r="N66" s="12"/>
      <c r="O66" s="12"/>
      <c r="P66" s="12"/>
      <c r="Q66" s="12"/>
      <c r="R66" s="46">
        <f>IF(OR($G$4="MEDIA",$G$4="BASICA - TERCER CICLO"),ROUND(((M66*$M$11)+(N66*$N$11)+(O66*$O$11)+(P66*$P$11)+(Q66*$Q$11)*100)/35%,2),ROUND((M66*$M$11)+(N66*$N$11)+(O66*$O$11)+(P66*$P$11)+(Q66*$Q$11),2))</f>
        <v>0</v>
      </c>
      <c r="S66" s="12"/>
      <c r="T66" s="12"/>
      <c r="U66" s="12"/>
      <c r="V66" s="13">
        <f>IF(OR($G$4="MEDIA",$G$4="BASICA - TERCER CICLO"),ROUND(((S66*$S$11)+(T66*$T$11)+(U66*$U$11)*100)/30%,2),ROUND(((S66*$S$11)+(T66*$T$11)+(U66*$U$11)*100)/30%,2))</f>
        <v>0</v>
      </c>
      <c r="W66" s="12"/>
      <c r="X66" s="14">
        <f>IF(OR($G$4="MEDIA",$G$4="BASICA - TERCER CICLO"),ROUND((W66*$W$11),2),ROUND((W66*$W$11),0))</f>
        <v>0</v>
      </c>
      <c r="Y66" s="47">
        <f>ROUND((L66+R66+V66)/3,1)</f>
        <v>0</v>
      </c>
      <c r="Z66" s="12"/>
      <c r="AA66" s="12"/>
      <c r="AB66" s="12"/>
      <c r="AC66" s="12"/>
      <c r="AD66" s="12"/>
      <c r="AE66" s="46">
        <f>IF(OR($G$4="MEDIA",$G$4="BASICA - TERCER CICLO"),ROUND(((Z66*$Z$11)+(AA66*$AA$11)+(AB66*$AB$11)+(AC66*$AC$11)+(AD66*$AD$11)*100)/35%,2),ROUND((Z66*$Z$11)+(AA66*$AA$11)+(AB66*$AB$11)+(AC66*$AC$11)+(AD66*$AD$11),2))</f>
        <v>0</v>
      </c>
      <c r="AF66" s="12"/>
      <c r="AG66" s="12"/>
      <c r="AH66" s="12"/>
      <c r="AI66" s="12"/>
      <c r="AJ66" s="12"/>
      <c r="AK66" s="46">
        <f>IF(OR($G$4="MEDIA",$G$4="BASICA - TERCER CICLO"),ROUND(((AF66*$AF$11)+(AG66*$AG$11)+(AH66*$AH$11)+(AI66*$AI$11)+(AJ66*$AJ$11)*100)/35%,2),ROUND((AF66*$AF$11)+(AG66*$AG$11)+(AH66*$AH$11)+(AI66*$AI$11)+(AJ66*$AJ$11),2))</f>
        <v>0</v>
      </c>
      <c r="AL66" s="12"/>
      <c r="AM66" s="12"/>
      <c r="AN66" s="12"/>
      <c r="AO66" s="46">
        <f>IF(OR($G$4="MEDIA",$G$4="BASICA - TERCER CICLO"),ROUND(((AL66*$AL$11)+(AM66*$AM$11)+(AN66*$AN$11)*100)/30%,2),ROUND(((AL66*$AL$11)+(AM66*$AM$11)+(AN66*$AN$11)*100)/30%,2))</f>
        <v>0</v>
      </c>
      <c r="AP66" s="12"/>
      <c r="AQ66" s="14">
        <f>IF(OR($G$4="MEDIA",$G$4="BASICA - TERCER CICLO"),ROUND((AP66*$AP$11),2),ROUND((AP66*$AP$11),0))</f>
        <v>0</v>
      </c>
      <c r="AR66" s="47">
        <f>ROUND((AE66+AK66+AO66)/3,1)</f>
        <v>0</v>
      </c>
      <c r="AS66" s="12"/>
      <c r="AT66" s="12"/>
      <c r="AU66" s="12"/>
      <c r="AV66" s="12"/>
      <c r="AW66" s="12"/>
      <c r="AX66" s="46">
        <f>IF(OR($G$4="MEDIA",$G$4="BASICA - TERCER CICLO"),ROUND(((AS66*$AS$11)+(AT66*$AT$11)+(AU66*$AU$11)+(AV66*$AV$11)+(AW66*$AW$11)*100)/35%,2),ROUND((AS66*$AS$11)+(AT66*$AT$11)+(AU66*$AU$11)+(AV66*$AV$11)+(AW66*$AW$11),2))</f>
        <v>0</v>
      </c>
      <c r="AY66" s="12"/>
      <c r="AZ66" s="12"/>
      <c r="BA66" s="12"/>
      <c r="BB66" s="12"/>
      <c r="BC66" s="12"/>
      <c r="BD66" s="46">
        <f>IF(OR($G$4="MEDIA",$G$4="BASICA - TERCER CICLO"),ROUND(((AY66*$AY$11)+(AZ66*$AZ$11)+(BA66*$BA$11)+(BB66*$BB$11)+(BC66*$BC$11)*100)/35%,2),ROUND((AY66*$AY$11)+(AZ66*$AZ$11)+(BA66*$BA$11)+(BB66*$BB$11)+(BC66*$BC$11),2))</f>
        <v>0</v>
      </c>
      <c r="BE66" s="12"/>
      <c r="BF66" s="12"/>
      <c r="BG66" s="12"/>
      <c r="BH66" s="46">
        <f>IF(OR($G$4="MEDIA",$G$4="BASICA - TERCER CICLO"),ROUND(((BE66*$BE$11)+(BF66*$BF$11)+(BG66*$BG$11)*100)/30%,2),ROUND(((BE66*$BE$11)+(BF66*$BF$11)+(BG66*$BG$11)*100)/30%,2))</f>
        <v>0</v>
      </c>
      <c r="BI66" s="12"/>
      <c r="BJ66" s="14">
        <f>IF(OR($G$4="MEDIA",$G$4="BASICA - TERCER CICLO"),ROUND((BI66*$BI$11),2),ROUND((BI66*$BI$11),0))</f>
        <v>0</v>
      </c>
      <c r="BK66" s="47">
        <f>ROUND((AX66+BD66+BH66)/3,1)</f>
        <v>0</v>
      </c>
      <c r="BL66" s="12"/>
      <c r="BM66" s="12"/>
      <c r="BN66" s="12"/>
      <c r="BO66" s="12"/>
      <c r="BP66" s="12"/>
      <c r="BQ66" s="13">
        <f>IF(OR($G$4="MEDIA",$G$4="BASICA - TERCER CICLO"),ROUND(((BL66*$BL$11)+(BM66*$BM$11)+(BN66*$BN$11)+(BO66*$BO$11)+(BP66*$BP$11)*100)/35%,2),ROUND(((BL66*$BL$11)+(BM66*$BM$11)+(BN66*$BN$11)+(BO66*$BO$11)+(BP66*$BP$11)*100)/35%,2))</f>
        <v>0</v>
      </c>
      <c r="BR66" s="12"/>
      <c r="BS66" s="12"/>
      <c r="BT66" s="12"/>
      <c r="BU66" s="12"/>
      <c r="BV66" s="12"/>
      <c r="BW66" s="13">
        <f>IF(OR($G$4="MEDIA",$G$4="BASICA - TERCER CICLO"),ROUND(((BR66*$BR$11)+(BS66*$BS$11)+(BT66*$BT$11)+(BU66*$BU$11)+(BV66*$BV$11)*100)/35%,2),ROUND(((BR66*$BR$11)+(BS66*$BS$11)+(BT66*$BT$11)+(BU66*$BU$11)+(BV66*$BP$11)*100)/35%,2))</f>
        <v>0</v>
      </c>
      <c r="BX66" s="12"/>
      <c r="BY66" s="12"/>
      <c r="BZ66" s="12"/>
      <c r="CA66" s="13">
        <f>IF(OR($G$4="MEDIA",$G$4="BASICA - TERCER CICLO"),ROUND(((BX66*$BX$11)+(BY66*$BY$11)+(BZ66*$BZ$11)*100)/30%,2),ROUND(((BX66*$BX$11)+(BY66*$BY$11)+(BZ66*$BZ$11)*100)/30%,2))</f>
        <v>0</v>
      </c>
      <c r="CB66" s="12"/>
      <c r="CC66" s="14">
        <f>IF(OR($G$4="MEDIA",$G$4="BASICA - TERCER CICLO"),ROUND((CB66*$BI$11),2),ROUND((CB66*$BI$11),0))</f>
        <v>0</v>
      </c>
      <c r="CD66" s="28">
        <f>IF(OR($G$4="MEDIA",$G$4="BASICA - TERCER CICLO"),ROUND((BQ66+BW66+CA66+CC66),1),IF($G$4="BASICA",ROUND((BQ66+BW66+CA66+CC66),0),ROUND((BQ66+BW66+CA66+CC66),1)))</f>
        <v>0</v>
      </c>
      <c r="CE66" s="28">
        <f>IF($G$4 = "MEDIA",ROUND(((Y66+AR66+BK66+CD66)/4),0),ROUND(((Y66+AR66+BK66)/3),0))</f>
        <v>0</v>
      </c>
      <c r="CF66" s="21"/>
      <c r="CG66" s="28">
        <f>IF(AND(CE66&lt;5,$G$4="BASICA"),ROUND((CE66+CF66)/2,0),IF(AND(CE66&lt;6,$G$4="MEDIA"),ROUND((CE66+CF66)/2,0),CE66))</f>
        <v>0</v>
      </c>
      <c r="CH66" s="16" t="str">
        <f>IF($G$4="MEDIA",IF(CG66&gt;=6,"Aprobado","Reprobado"),IF(CG66&gt;=5,"Aprobado","Reprobado"))</f>
        <v>Reprobado</v>
      </c>
    </row>
    <row r="67" spans="1:86" customHeight="1" ht="20.25">
      <c r="A67" s="39">
        <v>55</v>
      </c>
      <c r="B67" s="2">
        <v>10282544</v>
      </c>
      <c r="C67" s="2">
        <v>4387</v>
      </c>
      <c r="D67" s="2">
        <v>27004</v>
      </c>
      <c r="E67" s="2" t="s">
        <v>92</v>
      </c>
      <c r="F67" s="40" t="s">
        <v>37</v>
      </c>
      <c r="G67" s="31"/>
      <c r="H67" s="7"/>
      <c r="I67" s="7"/>
      <c r="J67" s="7"/>
      <c r="K67" s="7"/>
      <c r="L67" s="46">
        <f>IF(OR($G$4="MEDIA",$G$4="BASICA - TERCER CICLO"),ROUND(((G67*$G$11)+(H67*$H$11)+(I67*$I$11)+(J67*$J$11)+(K67*$K$11)*100)/35%,2),ROUND((G67*$G$11)+(H67*$H$11)+(I67*$I$11)+(J67*$J$11)+(K67*$K$11),2))</f>
        <v>0</v>
      </c>
      <c r="M67" s="7"/>
      <c r="N67" s="7"/>
      <c r="O67" s="7"/>
      <c r="P67" s="7"/>
      <c r="Q67" s="7"/>
      <c r="R67" s="46">
        <f>IF(OR($G$4="MEDIA",$G$4="BASICA - TERCER CICLO"),ROUND(((M67*$M$11)+(N67*$N$11)+(O67*$O$11)+(P67*$P$11)+(Q67*$Q$11)*100)/35%,2),ROUND((M67*$M$11)+(N67*$N$11)+(O67*$O$11)+(P67*$P$11)+(Q67*$Q$11),2))</f>
        <v>0</v>
      </c>
      <c r="S67" s="7"/>
      <c r="T67" s="7"/>
      <c r="U67" s="7"/>
      <c r="V67" s="13">
        <f>IF(OR($G$4="MEDIA",$G$4="BASICA - TERCER CICLO"),ROUND(((S67*$S$11)+(T67*$T$11)+(U67*$U$11)*100)/30%,2),ROUND(((S67*$S$11)+(T67*$T$11)+(U67*$U$11)*100)/30%,2))</f>
        <v>0</v>
      </c>
      <c r="W67" s="7"/>
      <c r="X67" s="14">
        <f>IF(OR($G$4="MEDIA",$G$4="BASICA - TERCER CICLO"),ROUND((W67*$W$11),2),ROUND((W67*$W$11),0))</f>
        <v>0</v>
      </c>
      <c r="Y67" s="47">
        <f>ROUND((L67+R67+V67)/3,1)</f>
        <v>0</v>
      </c>
      <c r="Z67" s="7"/>
      <c r="AA67" s="7"/>
      <c r="AB67" s="7"/>
      <c r="AC67" s="7"/>
      <c r="AD67" s="7"/>
      <c r="AE67" s="46">
        <f>IF(OR($G$4="MEDIA",$G$4="BASICA - TERCER CICLO"),ROUND(((Z67*$Z$11)+(AA67*$AA$11)+(AB67*$AB$11)+(AC67*$AC$11)+(AD67*$AD$11)*100)/35%,2),ROUND((Z67*$Z$11)+(AA67*$AA$11)+(AB67*$AB$11)+(AC67*$AC$11)+(AD67*$AD$11),2))</f>
        <v>0</v>
      </c>
      <c r="AF67" s="7"/>
      <c r="AG67" s="7"/>
      <c r="AH67" s="7"/>
      <c r="AI67" s="7"/>
      <c r="AJ67" s="7"/>
      <c r="AK67" s="46">
        <f>IF(OR($G$4="MEDIA",$G$4="BASICA - TERCER CICLO"),ROUND(((AF67*$AF$11)+(AG67*$AG$11)+(AH67*$AH$11)+(AI67*$AI$11)+(AJ67*$AJ$11)*100)/35%,2),ROUND((AF67*$AF$11)+(AG67*$AG$11)+(AH67*$AH$11)+(AI67*$AI$11)+(AJ67*$AJ$11),2))</f>
        <v>0</v>
      </c>
      <c r="AL67" s="7"/>
      <c r="AM67" s="7"/>
      <c r="AN67" s="7"/>
      <c r="AO67" s="46">
        <f>IF(OR($G$4="MEDIA",$G$4="BASICA - TERCER CICLO"),ROUND(((AL67*$AL$11)+(AM67*$AM$11)+(AN67*$AN$11)*100)/30%,2),ROUND(((AL67*$AL$11)+(AM67*$AM$11)+(AN67*$AN$11)*100)/30%,2))</f>
        <v>0</v>
      </c>
      <c r="AP67" s="7"/>
      <c r="AQ67" s="14">
        <f>IF(OR($G$4="MEDIA",$G$4="BASICA - TERCER CICLO"),ROUND((AP67*$AP$11),2),ROUND((AP67*$AP$11),0))</f>
        <v>0</v>
      </c>
      <c r="AR67" s="47">
        <f>ROUND((AE67+AK67+AO67)/3,1)</f>
        <v>0</v>
      </c>
      <c r="AS67" s="7"/>
      <c r="AT67" s="7"/>
      <c r="AU67" s="7"/>
      <c r="AV67" s="7"/>
      <c r="AW67" s="7"/>
      <c r="AX67" s="46">
        <f>IF(OR($G$4="MEDIA",$G$4="BASICA - TERCER CICLO"),ROUND(((AS67*$AS$11)+(AT67*$AT$11)+(AU67*$AU$11)+(AV67*$AV$11)+(AW67*$AW$11)*100)/35%,2),ROUND((AS67*$AS$11)+(AT67*$AT$11)+(AU67*$AU$11)+(AV67*$AV$11)+(AW67*$AW$11),2))</f>
        <v>0</v>
      </c>
      <c r="AY67" s="7"/>
      <c r="AZ67" s="7"/>
      <c r="BA67" s="7"/>
      <c r="BB67" s="7"/>
      <c r="BC67" s="7"/>
      <c r="BD67" s="46">
        <f>IF(OR($G$4="MEDIA",$G$4="BASICA - TERCER CICLO"),ROUND(((AY67*$AY$11)+(AZ67*$AZ$11)+(BA67*$BA$11)+(BB67*$BB$11)+(BC67*$BC$11)*100)/35%,2),ROUND((AY67*$AY$11)+(AZ67*$AZ$11)+(BA67*$BA$11)+(BB67*$BB$11)+(BC67*$BC$11),2))</f>
        <v>0</v>
      </c>
      <c r="BE67" s="7"/>
      <c r="BF67" s="7"/>
      <c r="BG67" s="7"/>
      <c r="BH67" s="46">
        <f>IF(OR($G$4="MEDIA",$G$4="BASICA - TERCER CICLO"),ROUND(((BE67*$BE$11)+(BF67*$BF$11)+(BG67*$BG$11)*100)/30%,2),ROUND(((BE67*$BE$11)+(BF67*$BF$11)+(BG67*$BG$11)*100)/30%,2))</f>
        <v>0</v>
      </c>
      <c r="BI67" s="7"/>
      <c r="BJ67" s="14">
        <f>IF(OR($G$4="MEDIA",$G$4="BASICA - TERCER CICLO"),ROUND((BI67*$BI$11),2),ROUND((BI67*$BI$11),0))</f>
        <v>0</v>
      </c>
      <c r="BK67" s="47">
        <f>ROUND((AX67+BD67+BH67)/3,1)</f>
        <v>0</v>
      </c>
      <c r="BL67" s="7"/>
      <c r="BM67" s="7"/>
      <c r="BN67" s="7"/>
      <c r="BO67" s="7"/>
      <c r="BP67" s="7"/>
      <c r="BQ67" s="13">
        <f>IF(OR($G$4="MEDIA",$G$4="BASICA - TERCER CICLO"),ROUND(((BL67*$BL$11)+(BM67*$BM$11)+(BN67*$BN$11)+(BO67*$BO$11)+(BP67*$BP$11)*100)/35%,2),ROUND(((BL67*$BL$11)+(BM67*$BM$11)+(BN67*$BN$11)+(BO67*$BO$11)+(BP67*$BP$11)*100)/35%,2))</f>
        <v>0</v>
      </c>
      <c r="BR67" s="7"/>
      <c r="BS67" s="7"/>
      <c r="BT67" s="7"/>
      <c r="BU67" s="7"/>
      <c r="BV67" s="7"/>
      <c r="BW67" s="13">
        <f>IF(OR($G$4="MEDIA",$G$4="BASICA - TERCER CICLO"),ROUND(((BR67*$BR$11)+(BS67*$BS$11)+(BT67*$BT$11)+(BU67*$BU$11)+(BV67*$BV$11)*100)/35%,2),ROUND(((BR67*$BR$11)+(BS67*$BS$11)+(BT67*$BT$11)+(BU67*$BU$11)+(BV67*$BP$11)*100)/35%,2))</f>
        <v>0</v>
      </c>
      <c r="BX67" s="7"/>
      <c r="BY67" s="7"/>
      <c r="BZ67" s="7"/>
      <c r="CA67" s="13">
        <f>IF(OR($G$4="MEDIA",$G$4="BASICA - TERCER CICLO"),ROUND(((BX67*$BX$11)+(BY67*$BY$11)+(BZ67*$BZ$11)*100)/30%,2),ROUND(((BX67*$BX$11)+(BY67*$BY$11)+(BZ67*$BZ$11)*100)/30%,2))</f>
        <v>0</v>
      </c>
      <c r="CB67" s="7"/>
      <c r="CC67" s="14">
        <f>IF(OR($G$4="MEDIA",$G$4="BASICA - TERCER CICLO"),ROUND((CB67*$BI$11),2),ROUND((CB67*$BI$11),0))</f>
        <v>0</v>
      </c>
      <c r="CD67" s="28">
        <f>IF(OR($G$4="MEDIA",$G$4="BASICA - TERCER CICLO"),ROUND((BQ67+BW67+CA67+CC67),1),IF($G$4="BASICA",ROUND((BQ67+BW67+CA67+CC67),0),ROUND((BQ67+BW67+CA67+CC67),1)))</f>
        <v>0</v>
      </c>
      <c r="CE67" s="28">
        <f>IF($G$4 = "MEDIA",ROUND(((Y67+AR67+BK67+CD67)/4),0),ROUND(((Y67+AR67+BK67)/3),0))</f>
        <v>0</v>
      </c>
      <c r="CF67" s="20"/>
      <c r="CG67" s="28">
        <f>IF(AND(CE67&lt;5,$G$4="BASICA"),ROUND((CE67+CF67)/2,0),IF(AND(CE67&lt;6,$G$4="MEDIA"),ROUND((CE67+CF67)/2,0),CE67))</f>
        <v>0</v>
      </c>
      <c r="CH67" s="17" t="str">
        <f>IF($G$4="MEDIA",IF(CG67&gt;=6,"Aprobado","Reprobado"),IF(CG67&gt;=5,"Aprobado","Reprobado"))</f>
        <v>Reprobado</v>
      </c>
    </row>
    <row r="68" spans="1:86" customHeight="1" ht="20.25">
      <c r="A68" s="41">
        <v>56</v>
      </c>
      <c r="B68" s="3">
        <v>10335648</v>
      </c>
      <c r="C68" s="3">
        <v>5042</v>
      </c>
      <c r="D68" s="3">
        <v>27005</v>
      </c>
      <c r="E68" s="3" t="s">
        <v>93</v>
      </c>
      <c r="F68" s="42" t="s">
        <v>37</v>
      </c>
      <c r="G68" s="32"/>
      <c r="H68" s="12"/>
      <c r="I68" s="12"/>
      <c r="J68" s="12"/>
      <c r="K68" s="12"/>
      <c r="L68" s="46">
        <f>IF(OR($G$4="MEDIA",$G$4="BASICA - TERCER CICLO"),ROUND(((G68*$G$11)+(H68*$H$11)+(I68*$I$11)+(J68*$J$11)+(K68*$K$11)*100)/35%,2),ROUND((G68*$G$11)+(H68*$H$11)+(I68*$I$11)+(J68*$J$11)+(K68*$K$11),2))</f>
        <v>0</v>
      </c>
      <c r="M68" s="12"/>
      <c r="N68" s="12"/>
      <c r="O68" s="12"/>
      <c r="P68" s="12"/>
      <c r="Q68" s="12"/>
      <c r="R68" s="46">
        <f>IF(OR($G$4="MEDIA",$G$4="BASICA - TERCER CICLO"),ROUND(((M68*$M$11)+(N68*$N$11)+(O68*$O$11)+(P68*$P$11)+(Q68*$Q$11)*100)/35%,2),ROUND((M68*$M$11)+(N68*$N$11)+(O68*$O$11)+(P68*$P$11)+(Q68*$Q$11),2))</f>
        <v>0</v>
      </c>
      <c r="S68" s="12"/>
      <c r="T68" s="12"/>
      <c r="U68" s="12"/>
      <c r="V68" s="13">
        <f>IF(OR($G$4="MEDIA",$G$4="BASICA - TERCER CICLO"),ROUND(((S68*$S$11)+(T68*$T$11)+(U68*$U$11)*100)/30%,2),ROUND(((S68*$S$11)+(T68*$T$11)+(U68*$U$11)*100)/30%,2))</f>
        <v>0</v>
      </c>
      <c r="W68" s="12"/>
      <c r="X68" s="14">
        <f>IF(OR($G$4="MEDIA",$G$4="BASICA - TERCER CICLO"),ROUND((W68*$W$11),2),ROUND((W68*$W$11),0))</f>
        <v>0</v>
      </c>
      <c r="Y68" s="47">
        <f>ROUND((L68+R68+V68)/3,1)</f>
        <v>0</v>
      </c>
      <c r="Z68" s="12"/>
      <c r="AA68" s="12"/>
      <c r="AB68" s="12"/>
      <c r="AC68" s="12"/>
      <c r="AD68" s="12"/>
      <c r="AE68" s="46">
        <f>IF(OR($G$4="MEDIA",$G$4="BASICA - TERCER CICLO"),ROUND(((Z68*$Z$11)+(AA68*$AA$11)+(AB68*$AB$11)+(AC68*$AC$11)+(AD68*$AD$11)*100)/35%,2),ROUND((Z68*$Z$11)+(AA68*$AA$11)+(AB68*$AB$11)+(AC68*$AC$11)+(AD68*$AD$11),2))</f>
        <v>0</v>
      </c>
      <c r="AF68" s="12"/>
      <c r="AG68" s="12"/>
      <c r="AH68" s="12"/>
      <c r="AI68" s="12"/>
      <c r="AJ68" s="12"/>
      <c r="AK68" s="46">
        <f>IF(OR($G$4="MEDIA",$G$4="BASICA - TERCER CICLO"),ROUND(((AF68*$AF$11)+(AG68*$AG$11)+(AH68*$AH$11)+(AI68*$AI$11)+(AJ68*$AJ$11)*100)/35%,2),ROUND((AF68*$AF$11)+(AG68*$AG$11)+(AH68*$AH$11)+(AI68*$AI$11)+(AJ68*$AJ$11),2))</f>
        <v>0</v>
      </c>
      <c r="AL68" s="12"/>
      <c r="AM68" s="12"/>
      <c r="AN68" s="12"/>
      <c r="AO68" s="46">
        <f>IF(OR($G$4="MEDIA",$G$4="BASICA - TERCER CICLO"),ROUND(((AL68*$AL$11)+(AM68*$AM$11)+(AN68*$AN$11)*100)/30%,2),ROUND(((AL68*$AL$11)+(AM68*$AM$11)+(AN68*$AN$11)*100)/30%,2))</f>
        <v>0</v>
      </c>
      <c r="AP68" s="12"/>
      <c r="AQ68" s="14">
        <f>IF(OR($G$4="MEDIA",$G$4="BASICA - TERCER CICLO"),ROUND((AP68*$AP$11),2),ROUND((AP68*$AP$11),0))</f>
        <v>0</v>
      </c>
      <c r="AR68" s="47">
        <f>ROUND((AE68+AK68+AO68)/3,1)</f>
        <v>0</v>
      </c>
      <c r="AS68" s="12"/>
      <c r="AT68" s="12"/>
      <c r="AU68" s="12"/>
      <c r="AV68" s="12"/>
      <c r="AW68" s="12"/>
      <c r="AX68" s="46">
        <f>IF(OR($G$4="MEDIA",$G$4="BASICA - TERCER CICLO"),ROUND(((AS68*$AS$11)+(AT68*$AT$11)+(AU68*$AU$11)+(AV68*$AV$11)+(AW68*$AW$11)*100)/35%,2),ROUND((AS68*$AS$11)+(AT68*$AT$11)+(AU68*$AU$11)+(AV68*$AV$11)+(AW68*$AW$11),2))</f>
        <v>0</v>
      </c>
      <c r="AY68" s="12"/>
      <c r="AZ68" s="12"/>
      <c r="BA68" s="12"/>
      <c r="BB68" s="12"/>
      <c r="BC68" s="12"/>
      <c r="BD68" s="46">
        <f>IF(OR($G$4="MEDIA",$G$4="BASICA - TERCER CICLO"),ROUND(((AY68*$AY$11)+(AZ68*$AZ$11)+(BA68*$BA$11)+(BB68*$BB$11)+(BC68*$BC$11)*100)/35%,2),ROUND((AY68*$AY$11)+(AZ68*$AZ$11)+(BA68*$BA$11)+(BB68*$BB$11)+(BC68*$BC$11),2))</f>
        <v>0</v>
      </c>
      <c r="BE68" s="12"/>
      <c r="BF68" s="12"/>
      <c r="BG68" s="12"/>
      <c r="BH68" s="46">
        <f>IF(OR($G$4="MEDIA",$G$4="BASICA - TERCER CICLO"),ROUND(((BE68*$BE$11)+(BF68*$BF$11)+(BG68*$BG$11)*100)/30%,2),ROUND(((BE68*$BE$11)+(BF68*$BF$11)+(BG68*$BG$11)*100)/30%,2))</f>
        <v>0</v>
      </c>
      <c r="BI68" s="12"/>
      <c r="BJ68" s="14">
        <f>IF(OR($G$4="MEDIA",$G$4="BASICA - TERCER CICLO"),ROUND((BI68*$BI$11),2),ROUND((BI68*$BI$11),0))</f>
        <v>0</v>
      </c>
      <c r="BK68" s="47">
        <f>ROUND((AX68+BD68+BH68)/3,1)</f>
        <v>0</v>
      </c>
      <c r="BL68" s="12"/>
      <c r="BM68" s="12"/>
      <c r="BN68" s="12"/>
      <c r="BO68" s="12"/>
      <c r="BP68" s="12"/>
      <c r="BQ68" s="13">
        <f>IF(OR($G$4="MEDIA",$G$4="BASICA - TERCER CICLO"),ROUND(((BL68*$BL$11)+(BM68*$BM$11)+(BN68*$BN$11)+(BO68*$BO$11)+(BP68*$BP$11)*100)/35%,2),ROUND(((BL68*$BL$11)+(BM68*$BM$11)+(BN68*$BN$11)+(BO68*$BO$11)+(BP68*$BP$11)*100)/35%,2))</f>
        <v>0</v>
      </c>
      <c r="BR68" s="12"/>
      <c r="BS68" s="12"/>
      <c r="BT68" s="12"/>
      <c r="BU68" s="12"/>
      <c r="BV68" s="12"/>
      <c r="BW68" s="13">
        <f>IF(OR($G$4="MEDIA",$G$4="BASICA - TERCER CICLO"),ROUND(((BR68*$BR$11)+(BS68*$BS$11)+(BT68*$BT$11)+(BU68*$BU$11)+(BV68*$BV$11)*100)/35%,2),ROUND(((BR68*$BR$11)+(BS68*$BS$11)+(BT68*$BT$11)+(BU68*$BU$11)+(BV68*$BP$11)*100)/35%,2))</f>
        <v>0</v>
      </c>
      <c r="BX68" s="12"/>
      <c r="BY68" s="12"/>
      <c r="BZ68" s="12"/>
      <c r="CA68" s="13">
        <f>IF(OR($G$4="MEDIA",$G$4="BASICA - TERCER CICLO"),ROUND(((BX68*$BX$11)+(BY68*$BY$11)+(BZ68*$BZ$11)*100)/30%,2),ROUND(((BX68*$BX$11)+(BY68*$BY$11)+(BZ68*$BZ$11)*100)/30%,2))</f>
        <v>0</v>
      </c>
      <c r="CB68" s="12"/>
      <c r="CC68" s="14">
        <f>IF(OR($G$4="MEDIA",$G$4="BASICA - TERCER CICLO"),ROUND((CB68*$BI$11),2),ROUND((CB68*$BI$11),0))</f>
        <v>0</v>
      </c>
      <c r="CD68" s="28">
        <f>IF(OR($G$4="MEDIA",$G$4="BASICA - TERCER CICLO"),ROUND((BQ68+BW68+CA68+CC68),1),IF($G$4="BASICA",ROUND((BQ68+BW68+CA68+CC68),0),ROUND((BQ68+BW68+CA68+CC68),1)))</f>
        <v>0</v>
      </c>
      <c r="CE68" s="28">
        <f>IF($G$4 = "MEDIA",ROUND(((Y68+AR68+BK68+CD68)/4),0),ROUND(((Y68+AR68+BK68)/3),0))</f>
        <v>0</v>
      </c>
      <c r="CF68" s="19"/>
      <c r="CG68" s="28">
        <f>IF(AND(CE68&lt;5,$G$4="BASICA"),ROUND((CE68+CF68)/2,0),IF(AND(CE68&lt;6,$G$4="MEDIA"),ROUND((CE68+CF68)/2,0),CE68))</f>
        <v>0</v>
      </c>
      <c r="CH68" s="16" t="str">
        <f>IF($G$4="MEDIA",IF(CG68&gt;=6,"Aprobado","Reprobado"),IF(CG68&gt;=5,"Aprobado","Reprobado"))</f>
        <v>Reprobado</v>
      </c>
    </row>
    <row r="69" spans="1:86" customHeight="1" ht="20.25">
      <c r="A69" s="39">
        <v>57</v>
      </c>
      <c r="B69" s="2">
        <v>10523082</v>
      </c>
      <c r="C69" s="2">
        <v>4640</v>
      </c>
      <c r="D69" s="2">
        <v>27006</v>
      </c>
      <c r="E69" s="2" t="s">
        <v>94</v>
      </c>
      <c r="F69" s="40" t="s">
        <v>37</v>
      </c>
      <c r="G69" s="31"/>
      <c r="H69" s="7"/>
      <c r="I69" s="7"/>
      <c r="J69" s="7"/>
      <c r="K69" s="7"/>
      <c r="L69" s="46">
        <f>IF(OR($G$4="MEDIA",$G$4="BASICA - TERCER CICLO"),ROUND(((G69*$G$11)+(H69*$H$11)+(I69*$I$11)+(J69*$J$11)+(K69*$K$11)*100)/35%,2),ROUND((G69*$G$11)+(H69*$H$11)+(I69*$I$11)+(J69*$J$11)+(K69*$K$11),2))</f>
        <v>0</v>
      </c>
      <c r="M69" s="7"/>
      <c r="N69" s="7"/>
      <c r="O69" s="7"/>
      <c r="P69" s="7"/>
      <c r="Q69" s="7"/>
      <c r="R69" s="46">
        <f>IF(OR($G$4="MEDIA",$G$4="BASICA - TERCER CICLO"),ROUND(((M69*$M$11)+(N69*$N$11)+(O69*$O$11)+(P69*$P$11)+(Q69*$Q$11)*100)/35%,2),ROUND((M69*$M$11)+(N69*$N$11)+(O69*$O$11)+(P69*$P$11)+(Q69*$Q$11),2))</f>
        <v>0</v>
      </c>
      <c r="S69" s="7"/>
      <c r="T69" s="7"/>
      <c r="U69" s="7"/>
      <c r="V69" s="13">
        <f>IF(OR($G$4="MEDIA",$G$4="BASICA - TERCER CICLO"),ROUND(((S69*$S$11)+(T69*$T$11)+(U69*$U$11)*100)/30%,2),ROUND(((S69*$S$11)+(T69*$T$11)+(U69*$U$11)*100)/30%,2))</f>
        <v>0</v>
      </c>
      <c r="W69" s="7"/>
      <c r="X69" s="14">
        <f>IF(OR($G$4="MEDIA",$G$4="BASICA - TERCER CICLO"),ROUND((W69*$W$11),2),ROUND((W69*$W$11),0))</f>
        <v>0</v>
      </c>
      <c r="Y69" s="47">
        <f>ROUND((L69+R69+V69)/3,1)</f>
        <v>0</v>
      </c>
      <c r="Z69" s="7"/>
      <c r="AA69" s="7"/>
      <c r="AB69" s="7"/>
      <c r="AC69" s="7"/>
      <c r="AD69" s="7"/>
      <c r="AE69" s="46">
        <f>IF(OR($G$4="MEDIA",$G$4="BASICA - TERCER CICLO"),ROUND(((Z69*$Z$11)+(AA69*$AA$11)+(AB69*$AB$11)+(AC69*$AC$11)+(AD69*$AD$11)*100)/35%,2),ROUND((Z69*$Z$11)+(AA69*$AA$11)+(AB69*$AB$11)+(AC69*$AC$11)+(AD69*$AD$11),2))</f>
        <v>0</v>
      </c>
      <c r="AF69" s="7"/>
      <c r="AG69" s="7"/>
      <c r="AH69" s="7"/>
      <c r="AI69" s="7"/>
      <c r="AJ69" s="7"/>
      <c r="AK69" s="46">
        <f>IF(OR($G$4="MEDIA",$G$4="BASICA - TERCER CICLO"),ROUND(((AF69*$AF$11)+(AG69*$AG$11)+(AH69*$AH$11)+(AI69*$AI$11)+(AJ69*$AJ$11)*100)/35%,2),ROUND((AF69*$AF$11)+(AG69*$AG$11)+(AH69*$AH$11)+(AI69*$AI$11)+(AJ69*$AJ$11),2))</f>
        <v>0</v>
      </c>
      <c r="AL69" s="7"/>
      <c r="AM69" s="7"/>
      <c r="AN69" s="7"/>
      <c r="AO69" s="46">
        <f>IF(OR($G$4="MEDIA",$G$4="BASICA - TERCER CICLO"),ROUND(((AL69*$AL$11)+(AM69*$AM$11)+(AN69*$AN$11)*100)/30%,2),ROUND(((AL69*$AL$11)+(AM69*$AM$11)+(AN69*$AN$11)*100)/30%,2))</f>
        <v>0</v>
      </c>
      <c r="AP69" s="7"/>
      <c r="AQ69" s="14">
        <f>IF(OR($G$4="MEDIA",$G$4="BASICA - TERCER CICLO"),ROUND((AP69*$AP$11),2),ROUND((AP69*$AP$11),0))</f>
        <v>0</v>
      </c>
      <c r="AR69" s="47">
        <f>ROUND((AE69+AK69+AO69)/3,1)</f>
        <v>0</v>
      </c>
      <c r="AS69" s="7"/>
      <c r="AT69" s="7"/>
      <c r="AU69" s="7"/>
      <c r="AV69" s="7"/>
      <c r="AW69" s="7"/>
      <c r="AX69" s="46">
        <f>IF(OR($G$4="MEDIA",$G$4="BASICA - TERCER CICLO"),ROUND(((AS69*$AS$11)+(AT69*$AT$11)+(AU69*$AU$11)+(AV69*$AV$11)+(AW69*$AW$11)*100)/35%,2),ROUND((AS69*$AS$11)+(AT69*$AT$11)+(AU69*$AU$11)+(AV69*$AV$11)+(AW69*$AW$11),2))</f>
        <v>0</v>
      </c>
      <c r="AY69" s="7"/>
      <c r="AZ69" s="7"/>
      <c r="BA69" s="7"/>
      <c r="BB69" s="7"/>
      <c r="BC69" s="7"/>
      <c r="BD69" s="46">
        <f>IF(OR($G$4="MEDIA",$G$4="BASICA - TERCER CICLO"),ROUND(((AY69*$AY$11)+(AZ69*$AZ$11)+(BA69*$BA$11)+(BB69*$BB$11)+(BC69*$BC$11)*100)/35%,2),ROUND((AY69*$AY$11)+(AZ69*$AZ$11)+(BA69*$BA$11)+(BB69*$BB$11)+(BC69*$BC$11),2))</f>
        <v>0</v>
      </c>
      <c r="BE69" s="7"/>
      <c r="BF69" s="7"/>
      <c r="BG69" s="7"/>
      <c r="BH69" s="46">
        <f>IF(OR($G$4="MEDIA",$G$4="BASICA - TERCER CICLO"),ROUND(((BE69*$BE$11)+(BF69*$BF$11)+(BG69*$BG$11)*100)/30%,2),ROUND(((BE69*$BE$11)+(BF69*$BF$11)+(BG69*$BG$11)*100)/30%,2))</f>
        <v>0</v>
      </c>
      <c r="BI69" s="7"/>
      <c r="BJ69" s="14">
        <f>IF(OR($G$4="MEDIA",$G$4="BASICA - TERCER CICLO"),ROUND((BI69*$BI$11),2),ROUND((BI69*$BI$11),0))</f>
        <v>0</v>
      </c>
      <c r="BK69" s="47">
        <f>ROUND((AX69+BD69+BH69)/3,1)</f>
        <v>0</v>
      </c>
      <c r="BL69" s="7"/>
      <c r="BM69" s="7"/>
      <c r="BN69" s="7"/>
      <c r="BO69" s="7"/>
      <c r="BP69" s="7"/>
      <c r="BQ69" s="13">
        <f>IF(OR($G$4="MEDIA",$G$4="BASICA - TERCER CICLO"),ROUND(((BL69*$BL$11)+(BM69*$BM$11)+(BN69*$BN$11)+(BO69*$BO$11)+(BP69*$BP$11)*100)/35%,2),ROUND(((BL69*$BL$11)+(BM69*$BM$11)+(BN69*$BN$11)+(BO69*$BO$11)+(BP69*$BP$11)*100)/35%,2))</f>
        <v>0</v>
      </c>
      <c r="BR69" s="7"/>
      <c r="BS69" s="7"/>
      <c r="BT69" s="7"/>
      <c r="BU69" s="7"/>
      <c r="BV69" s="7"/>
      <c r="BW69" s="13">
        <f>IF(OR($G$4="MEDIA",$G$4="BASICA - TERCER CICLO"),ROUND(((BR69*$BR$11)+(BS69*$BS$11)+(BT69*$BT$11)+(BU69*$BU$11)+(BV69*$BV$11)*100)/35%,2),ROUND(((BR69*$BR$11)+(BS69*$BS$11)+(BT69*$BT$11)+(BU69*$BU$11)+(BV69*$BP$11)*100)/35%,2))</f>
        <v>0</v>
      </c>
      <c r="BX69" s="7"/>
      <c r="BY69" s="7"/>
      <c r="BZ69" s="7"/>
      <c r="CA69" s="13">
        <f>IF(OR($G$4="MEDIA",$G$4="BASICA - TERCER CICLO"),ROUND(((BX69*$BX$11)+(BY69*$BY$11)+(BZ69*$BZ$11)*100)/30%,2),ROUND(((BX69*$BX$11)+(BY69*$BY$11)+(BZ69*$BZ$11)*100)/30%,2))</f>
        <v>0</v>
      </c>
      <c r="CB69" s="7"/>
      <c r="CC69" s="14">
        <f>IF(OR($G$4="MEDIA",$G$4="BASICA - TERCER CICLO"),ROUND((CB69*$BI$11),2),ROUND((CB69*$BI$11),0))</f>
        <v>0</v>
      </c>
      <c r="CD69" s="28">
        <f>IF(OR($G$4="MEDIA",$G$4="BASICA - TERCER CICLO"),ROUND((BQ69+BW69+CA69+CC69),1),IF($G$4="BASICA",ROUND((BQ69+BW69+CA69+CC69),0),ROUND((BQ69+BW69+CA69+CC69),1)))</f>
        <v>0</v>
      </c>
      <c r="CE69" s="28">
        <f>IF($G$4 = "MEDIA",ROUND(((Y69+AR69+BK69+CD69)/4),0),ROUND(((Y69+AR69+BK69)/3),0))</f>
        <v>0</v>
      </c>
      <c r="CF69" s="20"/>
      <c r="CG69" s="28">
        <f>IF(AND(CE69&lt;5,$G$4="BASICA"),ROUND((CE69+CF69)/2,0),IF(AND(CE69&lt;6,$G$4="MEDIA"),ROUND((CE69+CF69)/2,0),CE69))</f>
        <v>0</v>
      </c>
      <c r="CH69" s="17" t="str">
        <f>IF($G$4="MEDIA",IF(CG69&gt;=6,"Aprobado","Reprobado"),IF(CG69&gt;=5,"Aprobado","Reprobado"))</f>
        <v>Reprobado</v>
      </c>
    </row>
    <row r="70" spans="1:86" customHeight="1" ht="20.25">
      <c r="A70" s="41">
        <v>58</v>
      </c>
      <c r="B70" s="3">
        <v>10475714</v>
      </c>
      <c r="C70" s="3">
        <v>5480</v>
      </c>
      <c r="D70" s="3">
        <v>27007</v>
      </c>
      <c r="E70" s="3" t="s">
        <v>95</v>
      </c>
      <c r="F70" s="42" t="s">
        <v>39</v>
      </c>
      <c r="G70" s="32"/>
      <c r="H70" s="12"/>
      <c r="I70" s="12"/>
      <c r="J70" s="12"/>
      <c r="K70" s="12"/>
      <c r="L70" s="46">
        <f>IF(OR($G$4="MEDIA",$G$4="BASICA - TERCER CICLO"),ROUND(((G70*$G$11)+(H70*$H$11)+(I70*$I$11)+(J70*$J$11)+(K70*$K$11)*100)/35%,2),ROUND((G70*$G$11)+(H70*$H$11)+(I70*$I$11)+(J70*$J$11)+(K70*$K$11),2))</f>
        <v>0</v>
      </c>
      <c r="M70" s="12"/>
      <c r="N70" s="12"/>
      <c r="O70" s="12"/>
      <c r="P70" s="12"/>
      <c r="Q70" s="12"/>
      <c r="R70" s="46">
        <f>IF(OR($G$4="MEDIA",$G$4="BASICA - TERCER CICLO"),ROUND(((M70*$M$11)+(N70*$N$11)+(O70*$O$11)+(P70*$P$11)+(Q70*$Q$11)*100)/35%,2),ROUND((M70*$M$11)+(N70*$N$11)+(O70*$O$11)+(P70*$P$11)+(Q70*$Q$11),2))</f>
        <v>0</v>
      </c>
      <c r="S70" s="12"/>
      <c r="T70" s="12"/>
      <c r="U70" s="12"/>
      <c r="V70" s="13">
        <f>IF(OR($G$4="MEDIA",$G$4="BASICA - TERCER CICLO"),ROUND(((S70*$S$11)+(T70*$T$11)+(U70*$U$11)*100)/30%,2),ROUND(((S70*$S$11)+(T70*$T$11)+(U70*$U$11)*100)/30%,2))</f>
        <v>0</v>
      </c>
      <c r="W70" s="12"/>
      <c r="X70" s="14">
        <f>IF(OR($G$4="MEDIA",$G$4="BASICA - TERCER CICLO"),ROUND((W70*$W$11),2),ROUND((W70*$W$11),0))</f>
        <v>0</v>
      </c>
      <c r="Y70" s="47">
        <f>ROUND((L70+R70+V70)/3,1)</f>
        <v>0</v>
      </c>
      <c r="Z70" s="12"/>
      <c r="AA70" s="12"/>
      <c r="AB70" s="12"/>
      <c r="AC70" s="12"/>
      <c r="AD70" s="12"/>
      <c r="AE70" s="46">
        <f>IF(OR($G$4="MEDIA",$G$4="BASICA - TERCER CICLO"),ROUND(((Z70*$Z$11)+(AA70*$AA$11)+(AB70*$AB$11)+(AC70*$AC$11)+(AD70*$AD$11)*100)/35%,2),ROUND((Z70*$Z$11)+(AA70*$AA$11)+(AB70*$AB$11)+(AC70*$AC$11)+(AD70*$AD$11),2))</f>
        <v>0</v>
      </c>
      <c r="AF70" s="12"/>
      <c r="AG70" s="12"/>
      <c r="AH70" s="12"/>
      <c r="AI70" s="12"/>
      <c r="AJ70" s="12"/>
      <c r="AK70" s="46">
        <f>IF(OR($G$4="MEDIA",$G$4="BASICA - TERCER CICLO"),ROUND(((AF70*$AF$11)+(AG70*$AG$11)+(AH70*$AH$11)+(AI70*$AI$11)+(AJ70*$AJ$11)*100)/35%,2),ROUND((AF70*$AF$11)+(AG70*$AG$11)+(AH70*$AH$11)+(AI70*$AI$11)+(AJ70*$AJ$11),2))</f>
        <v>0</v>
      </c>
      <c r="AL70" s="12"/>
      <c r="AM70" s="12"/>
      <c r="AN70" s="12"/>
      <c r="AO70" s="46">
        <f>IF(OR($G$4="MEDIA",$G$4="BASICA - TERCER CICLO"),ROUND(((AL70*$AL$11)+(AM70*$AM$11)+(AN70*$AN$11)*100)/30%,2),ROUND(((AL70*$AL$11)+(AM70*$AM$11)+(AN70*$AN$11)*100)/30%,2))</f>
        <v>0</v>
      </c>
      <c r="AP70" s="12"/>
      <c r="AQ70" s="14">
        <f>IF(OR($G$4="MEDIA",$G$4="BASICA - TERCER CICLO"),ROUND((AP70*$AP$11),2),ROUND((AP70*$AP$11),0))</f>
        <v>0</v>
      </c>
      <c r="AR70" s="47">
        <f>ROUND((AE70+AK70+AO70)/3,1)</f>
        <v>0</v>
      </c>
      <c r="AS70" s="12"/>
      <c r="AT70" s="12"/>
      <c r="AU70" s="12"/>
      <c r="AV70" s="12"/>
      <c r="AW70" s="12"/>
      <c r="AX70" s="46">
        <f>IF(OR($G$4="MEDIA",$G$4="BASICA - TERCER CICLO"),ROUND(((AS70*$AS$11)+(AT70*$AT$11)+(AU70*$AU$11)+(AV70*$AV$11)+(AW70*$AW$11)*100)/35%,2),ROUND((AS70*$AS$11)+(AT70*$AT$11)+(AU70*$AU$11)+(AV70*$AV$11)+(AW70*$AW$11),2))</f>
        <v>0</v>
      </c>
      <c r="AY70" s="12"/>
      <c r="AZ70" s="12"/>
      <c r="BA70" s="12"/>
      <c r="BB70" s="12"/>
      <c r="BC70" s="12"/>
      <c r="BD70" s="46">
        <f>IF(OR($G$4="MEDIA",$G$4="BASICA - TERCER CICLO"),ROUND(((AY70*$AY$11)+(AZ70*$AZ$11)+(BA70*$BA$11)+(BB70*$BB$11)+(BC70*$BC$11)*100)/35%,2),ROUND((AY70*$AY$11)+(AZ70*$AZ$11)+(BA70*$BA$11)+(BB70*$BB$11)+(BC70*$BC$11),2))</f>
        <v>0</v>
      </c>
      <c r="BE70" s="12"/>
      <c r="BF70" s="12"/>
      <c r="BG70" s="12"/>
      <c r="BH70" s="46">
        <f>IF(OR($G$4="MEDIA",$G$4="BASICA - TERCER CICLO"),ROUND(((BE70*$BE$11)+(BF70*$BF$11)+(BG70*$BG$11)*100)/30%,2),ROUND(((BE70*$BE$11)+(BF70*$BF$11)+(BG70*$BG$11)*100)/30%,2))</f>
        <v>0</v>
      </c>
      <c r="BI70" s="12"/>
      <c r="BJ70" s="14">
        <f>IF(OR($G$4="MEDIA",$G$4="BASICA - TERCER CICLO"),ROUND((BI70*$BI$11),2),ROUND((BI70*$BI$11),0))</f>
        <v>0</v>
      </c>
      <c r="BK70" s="47">
        <f>ROUND((AX70+BD70+BH70)/3,1)</f>
        <v>0</v>
      </c>
      <c r="BL70" s="12"/>
      <c r="BM70" s="12"/>
      <c r="BN70" s="12"/>
      <c r="BO70" s="12"/>
      <c r="BP70" s="12"/>
      <c r="BQ70" s="13">
        <f>IF(OR($G$4="MEDIA",$G$4="BASICA - TERCER CICLO"),ROUND(((BL70*$BL$11)+(BM70*$BM$11)+(BN70*$BN$11)+(BO70*$BO$11)+(BP70*$BP$11)*100)/35%,2),ROUND(((BL70*$BL$11)+(BM70*$BM$11)+(BN70*$BN$11)+(BO70*$BO$11)+(BP70*$BP$11)*100)/35%,2))</f>
        <v>0</v>
      </c>
      <c r="BR70" s="12"/>
      <c r="BS70" s="12"/>
      <c r="BT70" s="12"/>
      <c r="BU70" s="12"/>
      <c r="BV70" s="12"/>
      <c r="BW70" s="13">
        <f>IF(OR($G$4="MEDIA",$G$4="BASICA - TERCER CICLO"),ROUND(((BR70*$BR$11)+(BS70*$BS$11)+(BT70*$BT$11)+(BU70*$BU$11)+(BV70*$BV$11)*100)/35%,2),ROUND(((BR70*$BR$11)+(BS70*$BS$11)+(BT70*$BT$11)+(BU70*$BU$11)+(BV70*$BP$11)*100)/35%,2))</f>
        <v>0</v>
      </c>
      <c r="BX70" s="12"/>
      <c r="BY70" s="12"/>
      <c r="BZ70" s="12"/>
      <c r="CA70" s="13">
        <f>IF(OR($G$4="MEDIA",$G$4="BASICA - TERCER CICLO"),ROUND(((BX70*$BX$11)+(BY70*$BY$11)+(BZ70*$BZ$11)*100)/30%,2),ROUND(((BX70*$BX$11)+(BY70*$BY$11)+(BZ70*$BZ$11)*100)/30%,2))</f>
        <v>0</v>
      </c>
      <c r="CB70" s="12"/>
      <c r="CC70" s="14">
        <f>IF(OR($G$4="MEDIA",$G$4="BASICA - TERCER CICLO"),ROUND((CB70*$BI$11),2),ROUND((CB70*$BI$11),0))</f>
        <v>0</v>
      </c>
      <c r="CD70" s="28">
        <f>IF(OR($G$4="MEDIA",$G$4="BASICA - TERCER CICLO"),ROUND((BQ70+BW70+CA70+CC70),1),IF($G$4="BASICA",ROUND((BQ70+BW70+CA70+CC70),0),ROUND((BQ70+BW70+CA70+CC70),1)))</f>
        <v>0</v>
      </c>
      <c r="CE70" s="28">
        <f>IF($G$4 = "MEDIA",ROUND(((Y70+AR70+BK70+CD70)/4),0),ROUND(((Y70+AR70+BK70)/3),0))</f>
        <v>0</v>
      </c>
      <c r="CF70" s="21"/>
      <c r="CG70" s="28">
        <f>IF(AND(CE70&lt;5,$G$4="BASICA"),ROUND((CE70+CF70)/2,0),IF(AND(CE70&lt;6,$G$4="MEDIA"),ROUND((CE70+CF70)/2,0),CE70))</f>
        <v>0</v>
      </c>
      <c r="CH70" s="16" t="str">
        <f>IF($G$4="MEDIA",IF(CG70&gt;=6,"Aprobado","Reprobado"),IF(CG70&gt;=5,"Aprobado","Reprobado"))</f>
        <v>Reprobado</v>
      </c>
    </row>
    <row r="71" spans="1:86" customHeight="1" ht="20.25">
      <c r="A71" s="39">
        <v>59</v>
      </c>
      <c r="B71" s="2">
        <v>10812109</v>
      </c>
      <c r="C71" s="2">
        <v>5314</v>
      </c>
      <c r="D71" s="2">
        <v>27008</v>
      </c>
      <c r="E71" s="2" t="s">
        <v>96</v>
      </c>
      <c r="F71" s="40" t="s">
        <v>39</v>
      </c>
      <c r="G71" s="31"/>
      <c r="H71" s="7"/>
      <c r="I71" s="7"/>
      <c r="J71" s="7"/>
      <c r="K71" s="7"/>
      <c r="L71" s="46">
        <f>IF(OR($G$4="MEDIA",$G$4="BASICA - TERCER CICLO"),ROUND(((G71*$G$11)+(H71*$H$11)+(I71*$I$11)+(J71*$J$11)+(K71*$K$11)*100)/35%,2),ROUND((G71*$G$11)+(H71*$H$11)+(I71*$I$11)+(J71*$J$11)+(K71*$K$11),2))</f>
        <v>0</v>
      </c>
      <c r="M71" s="7"/>
      <c r="N71" s="7"/>
      <c r="O71" s="7"/>
      <c r="P71" s="7"/>
      <c r="Q71" s="7"/>
      <c r="R71" s="46">
        <f>IF(OR($G$4="MEDIA",$G$4="BASICA - TERCER CICLO"),ROUND(((M71*$M$11)+(N71*$N$11)+(O71*$O$11)+(P71*$P$11)+(Q71*$Q$11)*100)/35%,2),ROUND((M71*$M$11)+(N71*$N$11)+(O71*$O$11)+(P71*$P$11)+(Q71*$Q$11),2))</f>
        <v>0</v>
      </c>
      <c r="S71" s="7"/>
      <c r="T71" s="7"/>
      <c r="U71" s="7"/>
      <c r="V71" s="13">
        <f>IF(OR($G$4="MEDIA",$G$4="BASICA - TERCER CICLO"),ROUND(((S71*$S$11)+(T71*$T$11)+(U71*$U$11)*100)/30%,2),ROUND(((S71*$S$11)+(T71*$T$11)+(U71*$U$11)*100)/30%,2))</f>
        <v>0</v>
      </c>
      <c r="W71" s="7"/>
      <c r="X71" s="14">
        <f>IF(OR($G$4="MEDIA",$G$4="BASICA - TERCER CICLO"),ROUND((W71*$W$11),2),ROUND((W71*$W$11),0))</f>
        <v>0</v>
      </c>
      <c r="Y71" s="47">
        <f>ROUND((L71+R71+V71)/3,1)</f>
        <v>0</v>
      </c>
      <c r="Z71" s="7"/>
      <c r="AA71" s="7"/>
      <c r="AB71" s="7"/>
      <c r="AC71" s="7"/>
      <c r="AD71" s="7"/>
      <c r="AE71" s="46">
        <f>IF(OR($G$4="MEDIA",$G$4="BASICA - TERCER CICLO"),ROUND(((Z71*$Z$11)+(AA71*$AA$11)+(AB71*$AB$11)+(AC71*$AC$11)+(AD71*$AD$11)*100)/35%,2),ROUND((Z71*$Z$11)+(AA71*$AA$11)+(AB71*$AB$11)+(AC71*$AC$11)+(AD71*$AD$11),2))</f>
        <v>0</v>
      </c>
      <c r="AF71" s="7"/>
      <c r="AG71" s="7"/>
      <c r="AH71" s="7"/>
      <c r="AI71" s="7"/>
      <c r="AJ71" s="7"/>
      <c r="AK71" s="46">
        <f>IF(OR($G$4="MEDIA",$G$4="BASICA - TERCER CICLO"),ROUND(((AF71*$AF$11)+(AG71*$AG$11)+(AH71*$AH$11)+(AI71*$AI$11)+(AJ71*$AJ$11)*100)/35%,2),ROUND((AF71*$AF$11)+(AG71*$AG$11)+(AH71*$AH$11)+(AI71*$AI$11)+(AJ71*$AJ$11),2))</f>
        <v>0</v>
      </c>
      <c r="AL71" s="7"/>
      <c r="AM71" s="7"/>
      <c r="AN71" s="7"/>
      <c r="AO71" s="46">
        <f>IF(OR($G$4="MEDIA",$G$4="BASICA - TERCER CICLO"),ROUND(((AL71*$AL$11)+(AM71*$AM$11)+(AN71*$AN$11)*100)/30%,2),ROUND(((AL71*$AL$11)+(AM71*$AM$11)+(AN71*$AN$11)*100)/30%,2))</f>
        <v>0</v>
      </c>
      <c r="AP71" s="7"/>
      <c r="AQ71" s="14">
        <f>IF(OR($G$4="MEDIA",$G$4="BASICA - TERCER CICLO"),ROUND((AP71*$AP$11),2),ROUND((AP71*$AP$11),0))</f>
        <v>0</v>
      </c>
      <c r="AR71" s="47">
        <f>ROUND((AE71+AK71+AO71)/3,1)</f>
        <v>0</v>
      </c>
      <c r="AS71" s="7"/>
      <c r="AT71" s="7"/>
      <c r="AU71" s="7"/>
      <c r="AV71" s="7"/>
      <c r="AW71" s="7"/>
      <c r="AX71" s="46">
        <f>IF(OR($G$4="MEDIA",$G$4="BASICA - TERCER CICLO"),ROUND(((AS71*$AS$11)+(AT71*$AT$11)+(AU71*$AU$11)+(AV71*$AV$11)+(AW71*$AW$11)*100)/35%,2),ROUND((AS71*$AS$11)+(AT71*$AT$11)+(AU71*$AU$11)+(AV71*$AV$11)+(AW71*$AW$11),2))</f>
        <v>0</v>
      </c>
      <c r="AY71" s="7"/>
      <c r="AZ71" s="7"/>
      <c r="BA71" s="7"/>
      <c r="BB71" s="7"/>
      <c r="BC71" s="7"/>
      <c r="BD71" s="46">
        <f>IF(OR($G$4="MEDIA",$G$4="BASICA - TERCER CICLO"),ROUND(((AY71*$AY$11)+(AZ71*$AZ$11)+(BA71*$BA$11)+(BB71*$BB$11)+(BC71*$BC$11)*100)/35%,2),ROUND((AY71*$AY$11)+(AZ71*$AZ$11)+(BA71*$BA$11)+(BB71*$BB$11)+(BC71*$BC$11),2))</f>
        <v>0</v>
      </c>
      <c r="BE71" s="7"/>
      <c r="BF71" s="7"/>
      <c r="BG71" s="7"/>
      <c r="BH71" s="46">
        <f>IF(OR($G$4="MEDIA",$G$4="BASICA - TERCER CICLO"),ROUND(((BE71*$BE$11)+(BF71*$BF$11)+(BG71*$BG$11)*100)/30%,2),ROUND(((BE71*$BE$11)+(BF71*$BF$11)+(BG71*$BG$11)*100)/30%,2))</f>
        <v>0</v>
      </c>
      <c r="BI71" s="7"/>
      <c r="BJ71" s="14">
        <f>IF(OR($G$4="MEDIA",$G$4="BASICA - TERCER CICLO"),ROUND((BI71*$BI$11),2),ROUND((BI71*$BI$11),0))</f>
        <v>0</v>
      </c>
      <c r="BK71" s="47">
        <f>ROUND((AX71+BD71+BH71)/3,1)</f>
        <v>0</v>
      </c>
      <c r="BL71" s="7"/>
      <c r="BM71" s="7"/>
      <c r="BN71" s="7"/>
      <c r="BO71" s="7"/>
      <c r="BP71" s="7"/>
      <c r="BQ71" s="13">
        <f>IF(OR($G$4="MEDIA",$G$4="BASICA - TERCER CICLO"),ROUND(((BL71*$BL$11)+(BM71*$BM$11)+(BN71*$BN$11)+(BO71*$BO$11)+(BP71*$BP$11)*100)/35%,2),ROUND(((BL71*$BL$11)+(BM71*$BM$11)+(BN71*$BN$11)+(BO71*$BO$11)+(BP71*$BP$11)*100)/35%,2))</f>
        <v>0</v>
      </c>
      <c r="BR71" s="7"/>
      <c r="BS71" s="7"/>
      <c r="BT71" s="7"/>
      <c r="BU71" s="7"/>
      <c r="BV71" s="7"/>
      <c r="BW71" s="13">
        <f>IF(OR($G$4="MEDIA",$G$4="BASICA - TERCER CICLO"),ROUND(((BR71*$BR$11)+(BS71*$BS$11)+(BT71*$BT$11)+(BU71*$BU$11)+(BV71*$BV$11)*100)/35%,2),ROUND(((BR71*$BR$11)+(BS71*$BS$11)+(BT71*$BT$11)+(BU71*$BU$11)+(BV71*$BP$11)*100)/35%,2))</f>
        <v>0</v>
      </c>
      <c r="BX71" s="7"/>
      <c r="BY71" s="7"/>
      <c r="BZ71" s="7"/>
      <c r="CA71" s="13">
        <f>IF(OR($G$4="MEDIA",$G$4="BASICA - TERCER CICLO"),ROUND(((BX71*$BX$11)+(BY71*$BY$11)+(BZ71*$BZ$11)*100)/30%,2),ROUND(((BX71*$BX$11)+(BY71*$BY$11)+(BZ71*$BZ$11)*100)/30%,2))</f>
        <v>0</v>
      </c>
      <c r="CB71" s="7"/>
      <c r="CC71" s="14">
        <f>IF(OR($G$4="MEDIA",$G$4="BASICA - TERCER CICLO"),ROUND((CB71*$BI$11),2),ROUND((CB71*$BI$11),0))</f>
        <v>0</v>
      </c>
      <c r="CD71" s="28">
        <f>IF(OR($G$4="MEDIA",$G$4="BASICA - TERCER CICLO"),ROUND((BQ71+BW71+CA71+CC71),1),IF($G$4="BASICA",ROUND((BQ71+BW71+CA71+CC71),0),ROUND((BQ71+BW71+CA71+CC71),1)))</f>
        <v>0</v>
      </c>
      <c r="CE71" s="28">
        <f>IF($G$4 = "MEDIA",ROUND(((Y71+AR71+BK71+CD71)/4),0),ROUND(((Y71+AR71+BK71)/3),0))</f>
        <v>0</v>
      </c>
      <c r="CF71" s="20"/>
      <c r="CG71" s="28">
        <f>IF(AND(CE71&lt;5,$G$4="BASICA"),ROUND((CE71+CF71)/2,0),IF(AND(CE71&lt;6,$G$4="MEDIA"),ROUND((CE71+CF71)/2,0),CE71))</f>
        <v>0</v>
      </c>
      <c r="CH71" s="17" t="str">
        <f>IF($G$4="MEDIA",IF(CG71&gt;=6,"Aprobado","Reprobado"),IF(CG71&gt;=5,"Aprobado","Reprobado"))</f>
        <v>Reprobado</v>
      </c>
    </row>
    <row r="72" spans="1:86" customHeight="1" ht="20.25">
      <c r="A72" s="43">
        <v>60</v>
      </c>
      <c r="B72" s="44">
        <v>10493557</v>
      </c>
      <c r="C72" s="44">
        <v>5113</v>
      </c>
      <c r="D72" s="44">
        <v>27009</v>
      </c>
      <c r="E72" s="44" t="s">
        <v>97</v>
      </c>
      <c r="F72" s="45" t="s">
        <v>39</v>
      </c>
      <c r="G72" s="32"/>
      <c r="H72" s="12"/>
      <c r="I72" s="12"/>
      <c r="J72" s="12"/>
      <c r="K72" s="12"/>
      <c r="L72" s="46">
        <f>IF(OR($G$4="MEDIA",$G$4="BASICA - TERCER CICLO"),ROUND(((G72*$G$11)+(H72*$H$11)+(I72*$I$11)+(J72*$J$11)+(K72*$K$11)*100)/35%,2),ROUND((G72*$G$11)+(H72*$H$11)+(I72*$I$11)+(J72*$J$11)+(K72*$K$11),2))</f>
        <v>0</v>
      </c>
      <c r="M72" s="12"/>
      <c r="N72" s="12"/>
      <c r="O72" s="12"/>
      <c r="P72" s="12"/>
      <c r="Q72" s="12"/>
      <c r="R72" s="46">
        <f>IF(OR($G$4="MEDIA",$G$4="BASICA - TERCER CICLO"),ROUND(((M72*$M$11)+(N72*$N$11)+(O72*$O$11)+(P72*$P$11)+(Q72*$Q$11)*100)/35%,2),ROUND((M72*$M$11)+(N72*$N$11)+(O72*$O$11)+(P72*$P$11)+(Q72*$Q$11),2))</f>
        <v>0</v>
      </c>
      <c r="S72" s="12"/>
      <c r="T72" s="12"/>
      <c r="U72" s="12"/>
      <c r="V72" s="13">
        <f>IF(OR($G$4="MEDIA",$G$4="BASICA - TERCER CICLO"),ROUND(((S72*$S$11)+(T72*$T$11)+(U72*$U$11)*100)/30%,2),ROUND(((S72*$S$11)+(T72*$T$11)+(U72*$U$11)*100)/30%,2))</f>
        <v>0</v>
      </c>
      <c r="W72" s="12"/>
      <c r="X72" s="14">
        <f>IF(OR($G$4="MEDIA",$G$4="BASICA - TERCER CICLO"),ROUND((W72*$W$11),2),ROUND((W72*$W$11),0))</f>
        <v>0</v>
      </c>
      <c r="Y72" s="47">
        <f>ROUND((L72+R72+V72)/3,1)</f>
        <v>0</v>
      </c>
      <c r="Z72" s="12"/>
      <c r="AA72" s="12"/>
      <c r="AB72" s="12"/>
      <c r="AC72" s="12"/>
      <c r="AD72" s="12"/>
      <c r="AE72" s="46">
        <f>IF(OR($G$4="MEDIA",$G$4="BASICA - TERCER CICLO"),ROUND(((Z72*$Z$11)+(AA72*$AA$11)+(AB72*$AB$11)+(AC72*$AC$11)+(AD72*$AD$11)*100)/35%,2),ROUND((Z72*$Z$11)+(AA72*$AA$11)+(AB72*$AB$11)+(AC72*$AC$11)+(AD72*$AD$11),2))</f>
        <v>0</v>
      </c>
      <c r="AF72" s="12"/>
      <c r="AG72" s="12"/>
      <c r="AH72" s="12"/>
      <c r="AI72" s="12"/>
      <c r="AJ72" s="12"/>
      <c r="AK72" s="46">
        <f>IF(OR($G$4="MEDIA",$G$4="BASICA - TERCER CICLO"),ROUND(((AF72*$AF$11)+(AG72*$AG$11)+(AH72*$AH$11)+(AI72*$AI$11)+(AJ72*$AJ$11)*100)/35%,2),ROUND((AF72*$AF$11)+(AG72*$AG$11)+(AH72*$AH$11)+(AI72*$AI$11)+(AJ72*$AJ$11),2))</f>
        <v>0</v>
      </c>
      <c r="AL72" s="12"/>
      <c r="AM72" s="12"/>
      <c r="AN72" s="12"/>
      <c r="AO72" s="46">
        <f>IF(OR($G$4="MEDIA",$G$4="BASICA - TERCER CICLO"),ROUND(((AL72*$AL$11)+(AM72*$AM$11)+(AN72*$AN$11)*100)/30%,2),ROUND(((AL72*$AL$11)+(AM72*$AM$11)+(AN72*$AN$11)*100)/30%,2))</f>
        <v>0</v>
      </c>
      <c r="AP72" s="12"/>
      <c r="AQ72" s="14">
        <f>IF(OR($G$4="MEDIA",$G$4="BASICA - TERCER CICLO"),ROUND((AP72*$AP$11),2),ROUND((AP72*$AP$11),0))</f>
        <v>0</v>
      </c>
      <c r="AR72" s="47">
        <f>ROUND((AE72+AK72+AO72)/3,1)</f>
        <v>0</v>
      </c>
      <c r="AS72" s="12"/>
      <c r="AT72" s="12"/>
      <c r="AU72" s="12"/>
      <c r="AV72" s="12"/>
      <c r="AW72" s="12"/>
      <c r="AX72" s="46">
        <f>IF(OR($G$4="MEDIA",$G$4="BASICA - TERCER CICLO"),ROUND(((AS72*$AS$11)+(AT72*$AT$11)+(AU72*$AU$11)+(AV72*$AV$11)+(AW72*$AW$11)*100)/35%,2),ROUND((AS72*$AS$11)+(AT72*$AT$11)+(AU72*$AU$11)+(AV72*$AV$11)+(AW72*$AW$11),2))</f>
        <v>0</v>
      </c>
      <c r="AY72" s="12"/>
      <c r="AZ72" s="12"/>
      <c r="BA72" s="12"/>
      <c r="BB72" s="12"/>
      <c r="BC72" s="12"/>
      <c r="BD72" s="46">
        <f>IF(OR($G$4="MEDIA",$G$4="BASICA - TERCER CICLO"),ROUND(((AY72*$AY$11)+(AZ72*$AZ$11)+(BA72*$BA$11)+(BB72*$BB$11)+(BC72*$BC$11)*100)/35%,2),ROUND((AY72*$AY$11)+(AZ72*$AZ$11)+(BA72*$BA$11)+(BB72*$BB$11)+(BC72*$BC$11),2))</f>
        <v>0</v>
      </c>
      <c r="BE72" s="12"/>
      <c r="BF72" s="12"/>
      <c r="BG72" s="12"/>
      <c r="BH72" s="46">
        <f>IF(OR($G$4="MEDIA",$G$4="BASICA - TERCER CICLO"),ROUND(((BE72*$BE$11)+(BF72*$BF$11)+(BG72*$BG$11)*100)/30%,2),ROUND(((BE72*$BE$11)+(BF72*$BF$11)+(BG72*$BG$11)*100)/30%,2))</f>
        <v>0</v>
      </c>
      <c r="BI72" s="12"/>
      <c r="BJ72" s="14">
        <f>IF(OR($G$4="MEDIA",$G$4="BASICA - TERCER CICLO"),ROUND((BI72*$BI$11),2),ROUND((BI72*$BI$11),0))</f>
        <v>0</v>
      </c>
      <c r="BK72" s="47">
        <f>ROUND((AX72+BD72+BH72)/3,1)</f>
        <v>0</v>
      </c>
      <c r="BL72" s="12"/>
      <c r="BM72" s="12"/>
      <c r="BN72" s="12"/>
      <c r="BO72" s="12"/>
      <c r="BP72" s="12"/>
      <c r="BQ72" s="13">
        <f>IF(OR($G$4="MEDIA",$G$4="BASICA - TERCER CICLO"),ROUND(((BL72*$BL$11)+(BM72*$BM$11)+(BN72*$BN$11)+(BO72*$BO$11)+(BP72*$BP$11)*100)/35%,2),ROUND(((BL72*$BL$11)+(BM72*$BM$11)+(BN72*$BN$11)+(BO72*$BO$11)+(BP72*$BP$11)*100)/35%,2))</f>
        <v>0</v>
      </c>
      <c r="BR72" s="12"/>
      <c r="BS72" s="12"/>
      <c r="BT72" s="12"/>
      <c r="BU72" s="12"/>
      <c r="BV72" s="12"/>
      <c r="BW72" s="13">
        <f>IF(OR($G$4="MEDIA",$G$4="BASICA - TERCER CICLO"),ROUND(((BR72*$BR$11)+(BS72*$BS$11)+(BT72*$BT$11)+(BU72*$BU$11)+(BV72*$BV$11)*100)/35%,2),ROUND(((BR72*$BR$11)+(BS72*$BS$11)+(BT72*$BT$11)+(BU72*$BU$11)+(BV72*$BP$11)*100)/35%,2))</f>
        <v>0</v>
      </c>
      <c r="BX72" s="12"/>
      <c r="BY72" s="12"/>
      <c r="BZ72" s="12"/>
      <c r="CA72" s="13">
        <f>IF(OR($G$4="MEDIA",$G$4="BASICA - TERCER CICLO"),ROUND(((BX72*$BX$11)+(BY72*$BY$11)+(BZ72*$BZ$11)*100)/30%,2),ROUND(((BX72*$BX$11)+(BY72*$BY$11)+(BZ72*$BZ$11)*100)/30%,2))</f>
        <v>0</v>
      </c>
      <c r="CB72" s="12"/>
      <c r="CC72" s="14">
        <f>IF(OR($G$4="MEDIA",$G$4="BASICA - TERCER CICLO"),ROUND((CB72*$BI$11),2),ROUND((CB72*$BI$11),0))</f>
        <v>0</v>
      </c>
      <c r="CD72" s="28">
        <f>IF(OR($G$4="MEDIA",$G$4="BASICA - TERCER CICLO"),ROUND((BQ72+BW72+CA72+CC72),1),IF($G$4="BASICA",ROUND((BQ72+BW72+CA72+CC72),0),ROUND((BQ72+BW72+CA72+CC72),1)))</f>
        <v>0</v>
      </c>
      <c r="CE72" s="28">
        <f>IF($G$4 = "MEDIA",ROUND(((Y72+AR72+BK72+CD72)/4),0),ROUND(((Y72+AR72+BK72)/3),0))</f>
        <v>0</v>
      </c>
      <c r="CF72" s="21"/>
      <c r="CG72" s="28">
        <f>IF(AND(CE72&lt;5,$G$4="BASICA"),ROUND((CE72+CF72)/2,0),IF(AND(CE72&lt;6,$G$4="MEDIA"),ROUND((CE72+CF72)/2,0),CE72))</f>
        <v>0</v>
      </c>
      <c r="CH72" s="16" t="str">
        <f>IF($G$4="MEDIA",IF(CG72&gt;=6,"Aprobado","Reprobado"),IF(CG72&gt;=5,"Aprobado","Reprobado"))</f>
        <v>Reprobado</v>
      </c>
    </row>
    <row r="73" spans="1:86" customHeight="1" ht="20.25">
      <c r="A73" s="43">
        <v>61</v>
      </c>
      <c r="B73" s="44">
        <v>10531133</v>
      </c>
      <c r="C73" s="44">
        <v>5655</v>
      </c>
      <c r="D73" s="44">
        <v>26968</v>
      </c>
      <c r="E73" s="44" t="s">
        <v>98</v>
      </c>
      <c r="F73" s="45" t="s">
        <v>39</v>
      </c>
      <c r="G73" s="32"/>
      <c r="H73" s="12"/>
      <c r="I73" s="12"/>
      <c r="J73" s="12"/>
      <c r="K73" s="12"/>
      <c r="L73" s="46">
        <f>IF(OR($G$4="MEDIA",$G$4="BASICA - TERCER CICLO"),ROUND(((G73*$G$11)+(H73*$H$11)+(I73*$I$11)+(J73*$J$11)+(K73*$K$11)*100)/35%,2),ROUND((G73*$G$11)+(H73*$H$11)+(I73*$I$11)+(J73*$J$11)+(K73*$K$11),2))</f>
        <v>0</v>
      </c>
      <c r="M73" s="12"/>
      <c r="N73" s="12"/>
      <c r="O73" s="12"/>
      <c r="P73" s="12"/>
      <c r="Q73" s="12"/>
      <c r="R73" s="46">
        <f>IF(OR($G$4="MEDIA",$G$4="BASICA - TERCER CICLO"),ROUND(((M73*$M$11)+(N73*$N$11)+(O73*$O$11)+(P73*$P$11)+(Q73*$Q$11)*100)/35%,2),ROUND((M73*$M$11)+(N73*$N$11)+(O73*$O$11)+(P73*$P$11)+(Q73*$Q$11),2))</f>
        <v>0</v>
      </c>
      <c r="S73" s="12"/>
      <c r="T73" s="12"/>
      <c r="U73" s="12"/>
      <c r="V73" s="13">
        <f>IF(OR($G$4="MEDIA",$G$4="BASICA - TERCER CICLO"),ROUND(((S73*$S$11)+(T73*$T$11)+(U73*$U$11)*100)/30%,2),ROUND(((S73*$S$11)+(T73*$T$11)+(U73*$U$11)*100)/30%,2))</f>
        <v>0</v>
      </c>
      <c r="W73" s="12"/>
      <c r="X73" s="14">
        <f>IF(OR($G$4="MEDIA",$G$4="BASICA - TERCER CICLO"),ROUND((W73*$W$11),2),ROUND((W73*$W$11),0))</f>
        <v>0</v>
      </c>
      <c r="Y73" s="47">
        <f>ROUND((L73+R73+V73)/3,1)</f>
        <v>0</v>
      </c>
      <c r="Z73" s="12"/>
      <c r="AA73" s="12"/>
      <c r="AB73" s="12"/>
      <c r="AC73" s="12"/>
      <c r="AD73" s="12"/>
      <c r="AE73" s="46">
        <f>IF(OR($G$4="MEDIA",$G$4="BASICA - TERCER CICLO"),ROUND(((Z73*$Z$11)+(AA73*$AA$11)+(AB73*$AB$11)+(AC73*$AC$11)+(AD73*$AD$11)*100)/35%,2),ROUND((Z73*$Z$11)+(AA73*$AA$11)+(AB73*$AB$11)+(AC73*$AC$11)+(AD73*$AD$11),2))</f>
        <v>0</v>
      </c>
      <c r="AF73" s="12"/>
      <c r="AG73" s="12"/>
      <c r="AH73" s="12"/>
      <c r="AI73" s="12"/>
      <c r="AJ73" s="12"/>
      <c r="AK73" s="46">
        <f>IF(OR($G$4="MEDIA",$G$4="BASICA - TERCER CICLO"),ROUND(((AF73*$AF$11)+(AG73*$AG$11)+(AH73*$AH$11)+(AI73*$AI$11)+(AJ73*$AJ$11)*100)/35%,2),ROUND((AF73*$AF$11)+(AG73*$AG$11)+(AH73*$AH$11)+(AI73*$AI$11)+(AJ73*$AJ$11),2))</f>
        <v>0</v>
      </c>
      <c r="AL73" s="12"/>
      <c r="AM73" s="12"/>
      <c r="AN73" s="12"/>
      <c r="AO73" s="46">
        <f>IF(OR($G$4="MEDIA",$G$4="BASICA - TERCER CICLO"),ROUND(((AL73*$AL$11)+(AM73*$AM$11)+(AN73*$AN$11)*100)/30%,2),ROUND(((AL73*$AL$11)+(AM73*$AM$11)+(AN73*$AN$11)*100)/30%,2))</f>
        <v>0</v>
      </c>
      <c r="AP73" s="12"/>
      <c r="AQ73" s="14">
        <f>IF(OR($G$4="MEDIA",$G$4="BASICA - TERCER CICLO"),ROUND((AP73*$AP$11),2),ROUND((AP73*$AP$11),0))</f>
        <v>0</v>
      </c>
      <c r="AR73" s="47">
        <f>ROUND((AE73+AK73+AO73)/3,1)</f>
        <v>0</v>
      </c>
      <c r="AS73" s="12"/>
      <c r="AT73" s="12"/>
      <c r="AU73" s="12"/>
      <c r="AV73" s="12"/>
      <c r="AW73" s="12"/>
      <c r="AX73" s="46">
        <f>IF(OR($G$4="MEDIA",$G$4="BASICA - TERCER CICLO"),ROUND(((AS73*$AS$11)+(AT73*$AT$11)+(AU73*$AU$11)+(AV73*$AV$11)+(AW73*$AW$11)*100)/35%,2),ROUND((AS73*$AS$11)+(AT73*$AT$11)+(AU73*$AU$11)+(AV73*$AV$11)+(AW73*$AW$11),2))</f>
        <v>0</v>
      </c>
      <c r="AY73" s="12"/>
      <c r="AZ73" s="12"/>
      <c r="BA73" s="12"/>
      <c r="BB73" s="12"/>
      <c r="BC73" s="12"/>
      <c r="BD73" s="46">
        <f>IF(OR($G$4="MEDIA",$G$4="BASICA - TERCER CICLO"),ROUND(((AY73*$AY$11)+(AZ73*$AZ$11)+(BA73*$BA$11)+(BB73*$BB$11)+(BC73*$BC$11)*100)/35%,2),ROUND((AY73*$AY$11)+(AZ73*$AZ$11)+(BA73*$BA$11)+(BB73*$BB$11)+(BC73*$BC$11),2))</f>
        <v>0</v>
      </c>
      <c r="BE73" s="12"/>
      <c r="BF73" s="12"/>
      <c r="BG73" s="12"/>
      <c r="BH73" s="46">
        <f>IF(OR($G$4="MEDIA",$G$4="BASICA - TERCER CICLO"),ROUND(((BE73*$BE$11)+(BF73*$BF$11)+(BG73*$BG$11)*100)/30%,2),ROUND(((BE73*$BE$11)+(BF73*$BF$11)+(BG73*$BG$11)*100)/30%,2))</f>
        <v>0</v>
      </c>
      <c r="BI73" s="12"/>
      <c r="BJ73" s="14">
        <f>IF(OR($G$4="MEDIA",$G$4="BASICA - TERCER CICLO"),ROUND((BI73*$BI$11),2),ROUND((BI73*$BI$11),0))</f>
        <v>0</v>
      </c>
      <c r="BK73" s="47">
        <f>ROUND((AX73+BD73+BH73)/3,1)</f>
        <v>0</v>
      </c>
      <c r="BL73" s="12"/>
      <c r="BM73" s="12"/>
      <c r="BN73" s="12"/>
      <c r="BO73" s="12"/>
      <c r="BP73" s="12"/>
      <c r="BQ73" s="13">
        <f>IF(OR($G$4="MEDIA",$G$4="BASICA - TERCER CICLO"),ROUND(((BL73*$BL$11)+(BM73*$BM$11)+(BN73*$BN$11)+(BO73*$BO$11)+(BP73*$BP$11)*100)/35%,2),ROUND(((BL73*$BL$11)+(BM73*$BM$11)+(BN73*$BN$11)+(BO73*$BO$11)+(BP73*$BP$11)*100)/35%,2))</f>
        <v>0</v>
      </c>
      <c r="BR73" s="12"/>
      <c r="BS73" s="12"/>
      <c r="BT73" s="12"/>
      <c r="BU73" s="12"/>
      <c r="BV73" s="12"/>
      <c r="BW73" s="13">
        <f>IF(OR($G$4="MEDIA",$G$4="BASICA - TERCER CICLO"),ROUND(((BR73*$BR$11)+(BS73*$BS$11)+(BT73*$BT$11)+(BU73*$BU$11)+(BV73*$BV$11)*100)/35%,2),ROUND(((BR73*$BR$11)+(BS73*$BS$11)+(BT73*$BT$11)+(BU73*$BU$11)+(BV73*$BP$11)*100)/35%,2))</f>
        <v>0</v>
      </c>
      <c r="BX73" s="12"/>
      <c r="BY73" s="12"/>
      <c r="BZ73" s="12"/>
      <c r="CA73" s="13">
        <f>IF(OR($G$4="MEDIA",$G$4="BASICA - TERCER CICLO"),ROUND(((BX73*$BX$11)+(BY73*$BY$11)+(BZ73*$BZ$11)*100)/30%,2),ROUND(((BX73*$BX$11)+(BY73*$BY$11)+(BZ73*$BZ$11)*100)/30%,2))</f>
        <v>0</v>
      </c>
      <c r="CB73" s="12"/>
      <c r="CC73" s="14">
        <f>IF(OR($G$4="MEDIA",$G$4="BASICA - TERCER CICLO"),ROUND((CB73*$BI$11),2),ROUND((CB73*$BI$11),0))</f>
        <v>0</v>
      </c>
      <c r="CD73" s="28">
        <f>IF(OR($G$4="MEDIA",$G$4="BASICA - TERCER CICLO"),ROUND((BQ73+BW73+CA73+CC73),1),IF($G$4="BASICA",ROUND((BQ73+BW73+CA73+CC73),0),ROUND((BQ73+BW73+CA73+CC73),1)))</f>
        <v>0</v>
      </c>
      <c r="CE73" s="28">
        <f>IF($G$4 = "MEDIA",ROUND(((Y73+AR73+BK73+CD73)/4),0),ROUND(((Y73+AR73+BK73)/3),0))</f>
        <v>0</v>
      </c>
      <c r="CF73" s="21"/>
      <c r="CG73" s="28">
        <f>IF(AND(CE73&lt;5,$G$4="BASICA"),ROUND((CE73+CF73)/2,0),IF(AND(CE73&lt;6,$G$4="MEDIA"),ROUND((CE73+CF73)/2,0),CE73))</f>
        <v>0</v>
      </c>
      <c r="CH73" s="16" t="str">
        <f>IF($G$4="MEDIA",IF(CG73&gt;=6,"Aprobado","Reprobado"),IF(CG73&gt;=5,"Aprobado","Reprobado"))</f>
        <v>Reprobado</v>
      </c>
    </row>
    <row r="74" spans="1:86" customHeight="1" ht="20.25">
      <c r="A74" s="43">
        <v>62</v>
      </c>
      <c r="B74" s="44">
        <v>10335281</v>
      </c>
      <c r="C74" s="44">
        <v>5044</v>
      </c>
      <c r="D74" s="44">
        <v>27010</v>
      </c>
      <c r="E74" s="44" t="s">
        <v>99</v>
      </c>
      <c r="F74" s="45" t="s">
        <v>39</v>
      </c>
      <c r="G74" s="32"/>
      <c r="H74" s="12"/>
      <c r="I74" s="12"/>
      <c r="J74" s="12"/>
      <c r="K74" s="12"/>
      <c r="L74" s="46">
        <f>IF(OR($G$4="MEDIA",$G$4="BASICA - TERCER CICLO"),ROUND(((G74*$G$11)+(H74*$H$11)+(I74*$I$11)+(J74*$J$11)+(K74*$K$11)*100)/35%,2),ROUND((G74*$G$11)+(H74*$H$11)+(I74*$I$11)+(J74*$J$11)+(K74*$K$11),2))</f>
        <v>0</v>
      </c>
      <c r="M74" s="12"/>
      <c r="N74" s="12"/>
      <c r="O74" s="12"/>
      <c r="P74" s="12"/>
      <c r="Q74" s="12"/>
      <c r="R74" s="46">
        <f>IF(OR($G$4="MEDIA",$G$4="BASICA - TERCER CICLO"),ROUND(((M74*$M$11)+(N74*$N$11)+(O74*$O$11)+(P74*$P$11)+(Q74*$Q$11)*100)/35%,2),ROUND((M74*$M$11)+(N74*$N$11)+(O74*$O$11)+(P74*$P$11)+(Q74*$Q$11),2))</f>
        <v>0</v>
      </c>
      <c r="S74" s="12"/>
      <c r="T74" s="12"/>
      <c r="U74" s="12"/>
      <c r="V74" s="13">
        <f>IF(OR($G$4="MEDIA",$G$4="BASICA - TERCER CICLO"),ROUND(((S74*$S$11)+(T74*$T$11)+(U74*$U$11)*100)/30%,2),ROUND(((S74*$S$11)+(T74*$T$11)+(U74*$U$11)*100)/30%,2))</f>
        <v>0</v>
      </c>
      <c r="W74" s="12"/>
      <c r="X74" s="14">
        <f>IF(OR($G$4="MEDIA",$G$4="BASICA - TERCER CICLO"),ROUND((W74*$W$11),2),ROUND((W74*$W$11),0))</f>
        <v>0</v>
      </c>
      <c r="Y74" s="47">
        <f>ROUND((L74+R74+V74)/3,1)</f>
        <v>0</v>
      </c>
      <c r="Z74" s="12"/>
      <c r="AA74" s="12"/>
      <c r="AB74" s="12"/>
      <c r="AC74" s="12"/>
      <c r="AD74" s="12"/>
      <c r="AE74" s="46">
        <f>IF(OR($G$4="MEDIA",$G$4="BASICA - TERCER CICLO"),ROUND(((Z74*$Z$11)+(AA74*$AA$11)+(AB74*$AB$11)+(AC74*$AC$11)+(AD74*$AD$11)*100)/35%,2),ROUND((Z74*$Z$11)+(AA74*$AA$11)+(AB74*$AB$11)+(AC74*$AC$11)+(AD74*$AD$11),2))</f>
        <v>0</v>
      </c>
      <c r="AF74" s="12"/>
      <c r="AG74" s="12"/>
      <c r="AH74" s="12"/>
      <c r="AI74" s="12"/>
      <c r="AJ74" s="12"/>
      <c r="AK74" s="46">
        <f>IF(OR($G$4="MEDIA",$G$4="BASICA - TERCER CICLO"),ROUND(((AF74*$AF$11)+(AG74*$AG$11)+(AH74*$AH$11)+(AI74*$AI$11)+(AJ74*$AJ$11)*100)/35%,2),ROUND((AF74*$AF$11)+(AG74*$AG$11)+(AH74*$AH$11)+(AI74*$AI$11)+(AJ74*$AJ$11),2))</f>
        <v>0</v>
      </c>
      <c r="AL74" s="12"/>
      <c r="AM74" s="12"/>
      <c r="AN74" s="12"/>
      <c r="AO74" s="46">
        <f>IF(OR($G$4="MEDIA",$G$4="BASICA - TERCER CICLO"),ROUND(((AL74*$AL$11)+(AM74*$AM$11)+(AN74*$AN$11)*100)/30%,2),ROUND(((AL74*$AL$11)+(AM74*$AM$11)+(AN74*$AN$11)*100)/30%,2))</f>
        <v>0</v>
      </c>
      <c r="AP74" s="12"/>
      <c r="AQ74" s="14">
        <f>IF(OR($G$4="MEDIA",$G$4="BASICA - TERCER CICLO"),ROUND((AP74*$AP$11),2),ROUND((AP74*$AP$11),0))</f>
        <v>0</v>
      </c>
      <c r="AR74" s="47">
        <f>ROUND((AE74+AK74+AO74)/3,1)</f>
        <v>0</v>
      </c>
      <c r="AS74" s="12"/>
      <c r="AT74" s="12"/>
      <c r="AU74" s="12"/>
      <c r="AV74" s="12"/>
      <c r="AW74" s="12"/>
      <c r="AX74" s="46">
        <f>IF(OR($G$4="MEDIA",$G$4="BASICA - TERCER CICLO"),ROUND(((AS74*$AS$11)+(AT74*$AT$11)+(AU74*$AU$11)+(AV74*$AV$11)+(AW74*$AW$11)*100)/35%,2),ROUND((AS74*$AS$11)+(AT74*$AT$11)+(AU74*$AU$11)+(AV74*$AV$11)+(AW74*$AW$11),2))</f>
        <v>0</v>
      </c>
      <c r="AY74" s="12"/>
      <c r="AZ74" s="12"/>
      <c r="BA74" s="12"/>
      <c r="BB74" s="12"/>
      <c r="BC74" s="12"/>
      <c r="BD74" s="46">
        <f>IF(OR($G$4="MEDIA",$G$4="BASICA - TERCER CICLO"),ROUND(((AY74*$AY$11)+(AZ74*$AZ$11)+(BA74*$BA$11)+(BB74*$BB$11)+(BC74*$BC$11)*100)/35%,2),ROUND((AY74*$AY$11)+(AZ74*$AZ$11)+(BA74*$BA$11)+(BB74*$BB$11)+(BC74*$BC$11),2))</f>
        <v>0</v>
      </c>
      <c r="BE74" s="12"/>
      <c r="BF74" s="12"/>
      <c r="BG74" s="12"/>
      <c r="BH74" s="46">
        <f>IF(OR($G$4="MEDIA",$G$4="BASICA - TERCER CICLO"),ROUND(((BE74*$BE$11)+(BF74*$BF$11)+(BG74*$BG$11)*100)/30%,2),ROUND(((BE74*$BE$11)+(BF74*$BF$11)+(BG74*$BG$11)*100)/30%,2))</f>
        <v>0</v>
      </c>
      <c r="BI74" s="12"/>
      <c r="BJ74" s="14">
        <f>IF(OR($G$4="MEDIA",$G$4="BASICA - TERCER CICLO"),ROUND((BI74*$BI$11),2),ROUND((BI74*$BI$11),0))</f>
        <v>0</v>
      </c>
      <c r="BK74" s="47">
        <f>ROUND((AX74+BD74+BH74)/3,1)</f>
        <v>0</v>
      </c>
      <c r="BL74" s="12"/>
      <c r="BM74" s="12"/>
      <c r="BN74" s="12"/>
      <c r="BO74" s="12"/>
      <c r="BP74" s="12"/>
      <c r="BQ74" s="13">
        <f>IF(OR($G$4="MEDIA",$G$4="BASICA - TERCER CICLO"),ROUND(((BL74*$BL$11)+(BM74*$BM$11)+(BN74*$BN$11)+(BO74*$BO$11)+(BP74*$BP$11)*100)/35%,2),ROUND(((BL74*$BL$11)+(BM74*$BM$11)+(BN74*$BN$11)+(BO74*$BO$11)+(BP74*$BP$11)*100)/35%,2))</f>
        <v>0</v>
      </c>
      <c r="BR74" s="12"/>
      <c r="BS74" s="12"/>
      <c r="BT74" s="12"/>
      <c r="BU74" s="12"/>
      <c r="BV74" s="12"/>
      <c r="BW74" s="13">
        <f>IF(OR($G$4="MEDIA",$G$4="BASICA - TERCER CICLO"),ROUND(((BR74*$BR$11)+(BS74*$BS$11)+(BT74*$BT$11)+(BU74*$BU$11)+(BV74*$BV$11)*100)/35%,2),ROUND(((BR74*$BR$11)+(BS74*$BS$11)+(BT74*$BT$11)+(BU74*$BU$11)+(BV74*$BP$11)*100)/35%,2))</f>
        <v>0</v>
      </c>
      <c r="BX74" s="12"/>
      <c r="BY74" s="12"/>
      <c r="BZ74" s="12"/>
      <c r="CA74" s="13">
        <f>IF(OR($G$4="MEDIA",$G$4="BASICA - TERCER CICLO"),ROUND(((BX74*$BX$11)+(BY74*$BY$11)+(BZ74*$BZ$11)*100)/30%,2),ROUND(((BX74*$BX$11)+(BY74*$BY$11)+(BZ74*$BZ$11)*100)/30%,2))</f>
        <v>0</v>
      </c>
      <c r="CB74" s="12"/>
      <c r="CC74" s="14">
        <f>IF(OR($G$4="MEDIA",$G$4="BASICA - TERCER CICLO"),ROUND((CB74*$BI$11),2),ROUND((CB74*$BI$11),0))</f>
        <v>0</v>
      </c>
      <c r="CD74" s="28">
        <f>IF(OR($G$4="MEDIA",$G$4="BASICA - TERCER CICLO"),ROUND((BQ74+BW74+CA74+CC74),1),IF($G$4="BASICA",ROUND((BQ74+BW74+CA74+CC74),0),ROUND((BQ74+BW74+CA74+CC74),1)))</f>
        <v>0</v>
      </c>
      <c r="CE74" s="28">
        <f>IF($G$4 = "MEDIA",ROUND(((Y74+AR74+BK74+CD74)/4),0),ROUND(((Y74+AR74+BK74)/3),0))</f>
        <v>0</v>
      </c>
      <c r="CF74" s="21"/>
      <c r="CG74" s="28">
        <f>IF(AND(CE74&lt;5,$G$4="BASICA"),ROUND((CE74+CF74)/2,0),IF(AND(CE74&lt;6,$G$4="MEDIA"),ROUND((CE74+CF74)/2,0),CE74))</f>
        <v>0</v>
      </c>
      <c r="CH74" s="16" t="str">
        <f>IF($G$4="MEDIA",IF(CG74&gt;=6,"Aprobado","Reprobado"),IF(CG74&gt;=5,"Aprobado","Reprobado"))</f>
        <v>Reprobado</v>
      </c>
    </row>
    <row r="75" spans="1:86" customHeight="1" ht="20.25">
      <c r="A75" s="43">
        <v>63</v>
      </c>
      <c r="B75" s="44">
        <v>10282521</v>
      </c>
      <c r="C75" s="44">
        <v>4405</v>
      </c>
      <c r="D75" s="44">
        <v>27011</v>
      </c>
      <c r="E75" s="44" t="s">
        <v>100</v>
      </c>
      <c r="F75" s="45" t="s">
        <v>39</v>
      </c>
      <c r="G75" s="32"/>
      <c r="H75" s="12"/>
      <c r="I75" s="12"/>
      <c r="J75" s="12"/>
      <c r="K75" s="12"/>
      <c r="L75" s="46">
        <f>IF(OR($G$4="MEDIA",$G$4="BASICA - TERCER CICLO"),ROUND(((G75*$G$11)+(H75*$H$11)+(I75*$I$11)+(J75*$J$11)+(K75*$K$11)*100)/35%,2),ROUND((G75*$G$11)+(H75*$H$11)+(I75*$I$11)+(J75*$J$11)+(K75*$K$11),2))</f>
        <v>0</v>
      </c>
      <c r="M75" s="12"/>
      <c r="N75" s="12"/>
      <c r="O75" s="12"/>
      <c r="P75" s="12"/>
      <c r="Q75" s="12"/>
      <c r="R75" s="46">
        <f>IF(OR($G$4="MEDIA",$G$4="BASICA - TERCER CICLO"),ROUND(((M75*$M$11)+(N75*$N$11)+(O75*$O$11)+(P75*$P$11)+(Q75*$Q$11)*100)/35%,2),ROUND((M75*$M$11)+(N75*$N$11)+(O75*$O$11)+(P75*$P$11)+(Q75*$Q$11),2))</f>
        <v>0</v>
      </c>
      <c r="S75" s="12"/>
      <c r="T75" s="12"/>
      <c r="U75" s="12"/>
      <c r="V75" s="13">
        <f>IF(OR($G$4="MEDIA",$G$4="BASICA - TERCER CICLO"),ROUND(((S75*$S$11)+(T75*$T$11)+(U75*$U$11)*100)/30%,2),ROUND(((S75*$S$11)+(T75*$T$11)+(U75*$U$11)*100)/30%,2))</f>
        <v>0</v>
      </c>
      <c r="W75" s="12"/>
      <c r="X75" s="14">
        <f>IF(OR($G$4="MEDIA",$G$4="BASICA - TERCER CICLO"),ROUND((W75*$W$11),2),ROUND((W75*$W$11),0))</f>
        <v>0</v>
      </c>
      <c r="Y75" s="47">
        <f>ROUND((L75+R75+V75)/3,1)</f>
        <v>0</v>
      </c>
      <c r="Z75" s="12"/>
      <c r="AA75" s="12"/>
      <c r="AB75" s="12"/>
      <c r="AC75" s="12"/>
      <c r="AD75" s="12"/>
      <c r="AE75" s="46">
        <f>IF(OR($G$4="MEDIA",$G$4="BASICA - TERCER CICLO"),ROUND(((Z75*$Z$11)+(AA75*$AA$11)+(AB75*$AB$11)+(AC75*$AC$11)+(AD75*$AD$11)*100)/35%,2),ROUND((Z75*$Z$11)+(AA75*$AA$11)+(AB75*$AB$11)+(AC75*$AC$11)+(AD75*$AD$11),2))</f>
        <v>0</v>
      </c>
      <c r="AF75" s="12"/>
      <c r="AG75" s="12"/>
      <c r="AH75" s="12"/>
      <c r="AI75" s="12"/>
      <c r="AJ75" s="12"/>
      <c r="AK75" s="46">
        <f>IF(OR($G$4="MEDIA",$G$4="BASICA - TERCER CICLO"),ROUND(((AF75*$AF$11)+(AG75*$AG$11)+(AH75*$AH$11)+(AI75*$AI$11)+(AJ75*$AJ$11)*100)/35%,2),ROUND((AF75*$AF$11)+(AG75*$AG$11)+(AH75*$AH$11)+(AI75*$AI$11)+(AJ75*$AJ$11),2))</f>
        <v>0</v>
      </c>
      <c r="AL75" s="12"/>
      <c r="AM75" s="12"/>
      <c r="AN75" s="12"/>
      <c r="AO75" s="46">
        <f>IF(OR($G$4="MEDIA",$G$4="BASICA - TERCER CICLO"),ROUND(((AL75*$AL$11)+(AM75*$AM$11)+(AN75*$AN$11)*100)/30%,2),ROUND(((AL75*$AL$11)+(AM75*$AM$11)+(AN75*$AN$11)*100)/30%,2))</f>
        <v>0</v>
      </c>
      <c r="AP75" s="12"/>
      <c r="AQ75" s="14">
        <f>IF(OR($G$4="MEDIA",$G$4="BASICA - TERCER CICLO"),ROUND((AP75*$AP$11),2),ROUND((AP75*$AP$11),0))</f>
        <v>0</v>
      </c>
      <c r="AR75" s="47">
        <f>ROUND((AE75+AK75+AO75)/3,1)</f>
        <v>0</v>
      </c>
      <c r="AS75" s="12"/>
      <c r="AT75" s="12"/>
      <c r="AU75" s="12"/>
      <c r="AV75" s="12"/>
      <c r="AW75" s="12"/>
      <c r="AX75" s="46">
        <f>IF(OR($G$4="MEDIA",$G$4="BASICA - TERCER CICLO"),ROUND(((AS75*$AS$11)+(AT75*$AT$11)+(AU75*$AU$11)+(AV75*$AV$11)+(AW75*$AW$11)*100)/35%,2),ROUND((AS75*$AS$11)+(AT75*$AT$11)+(AU75*$AU$11)+(AV75*$AV$11)+(AW75*$AW$11),2))</f>
        <v>0</v>
      </c>
      <c r="AY75" s="12"/>
      <c r="AZ75" s="12"/>
      <c r="BA75" s="12"/>
      <c r="BB75" s="12"/>
      <c r="BC75" s="12"/>
      <c r="BD75" s="46">
        <f>IF(OR($G$4="MEDIA",$G$4="BASICA - TERCER CICLO"),ROUND(((AY75*$AY$11)+(AZ75*$AZ$11)+(BA75*$BA$11)+(BB75*$BB$11)+(BC75*$BC$11)*100)/35%,2),ROUND((AY75*$AY$11)+(AZ75*$AZ$11)+(BA75*$BA$11)+(BB75*$BB$11)+(BC75*$BC$11),2))</f>
        <v>0</v>
      </c>
      <c r="BE75" s="12"/>
      <c r="BF75" s="12"/>
      <c r="BG75" s="12"/>
      <c r="BH75" s="46">
        <f>IF(OR($G$4="MEDIA",$G$4="BASICA - TERCER CICLO"),ROUND(((BE75*$BE$11)+(BF75*$BF$11)+(BG75*$BG$11)*100)/30%,2),ROUND(((BE75*$BE$11)+(BF75*$BF$11)+(BG75*$BG$11)*100)/30%,2))</f>
        <v>0</v>
      </c>
      <c r="BI75" s="12"/>
      <c r="BJ75" s="14">
        <f>IF(OR($G$4="MEDIA",$G$4="BASICA - TERCER CICLO"),ROUND((BI75*$BI$11),2),ROUND((BI75*$BI$11),0))</f>
        <v>0</v>
      </c>
      <c r="BK75" s="47">
        <f>ROUND((AX75+BD75+BH75)/3,1)</f>
        <v>0</v>
      </c>
      <c r="BL75" s="12"/>
      <c r="BM75" s="12"/>
      <c r="BN75" s="12"/>
      <c r="BO75" s="12"/>
      <c r="BP75" s="12"/>
      <c r="BQ75" s="13">
        <f>IF(OR($G$4="MEDIA",$G$4="BASICA - TERCER CICLO"),ROUND(((BL75*$BL$11)+(BM75*$BM$11)+(BN75*$BN$11)+(BO75*$BO$11)+(BP75*$BP$11)*100)/35%,2),ROUND(((BL75*$BL$11)+(BM75*$BM$11)+(BN75*$BN$11)+(BO75*$BO$11)+(BP75*$BP$11)*100)/35%,2))</f>
        <v>0</v>
      </c>
      <c r="BR75" s="12"/>
      <c r="BS75" s="12"/>
      <c r="BT75" s="12"/>
      <c r="BU75" s="12"/>
      <c r="BV75" s="12"/>
      <c r="BW75" s="13">
        <f>IF(OR($G$4="MEDIA",$G$4="BASICA - TERCER CICLO"),ROUND(((BR75*$BR$11)+(BS75*$BS$11)+(BT75*$BT$11)+(BU75*$BU$11)+(BV75*$BV$11)*100)/35%,2),ROUND(((BR75*$BR$11)+(BS75*$BS$11)+(BT75*$BT$11)+(BU75*$BU$11)+(BV75*$BP$11)*100)/35%,2))</f>
        <v>0</v>
      </c>
      <c r="BX75" s="12"/>
      <c r="BY75" s="12"/>
      <c r="BZ75" s="12"/>
      <c r="CA75" s="13">
        <f>IF(OR($G$4="MEDIA",$G$4="BASICA - TERCER CICLO"),ROUND(((BX75*$BX$11)+(BY75*$BY$11)+(BZ75*$BZ$11)*100)/30%,2),ROUND(((BX75*$BX$11)+(BY75*$BY$11)+(BZ75*$BZ$11)*100)/30%,2))</f>
        <v>0</v>
      </c>
      <c r="CB75" s="12"/>
      <c r="CC75" s="14">
        <f>IF(OR($G$4="MEDIA",$G$4="BASICA - TERCER CICLO"),ROUND((CB75*$BI$11),2),ROUND((CB75*$BI$11),0))</f>
        <v>0</v>
      </c>
      <c r="CD75" s="28">
        <f>IF(OR($G$4="MEDIA",$G$4="BASICA - TERCER CICLO"),ROUND((BQ75+BW75+CA75+CC75),1),IF($G$4="BASICA",ROUND((BQ75+BW75+CA75+CC75),0),ROUND((BQ75+BW75+CA75+CC75),1)))</f>
        <v>0</v>
      </c>
      <c r="CE75" s="28">
        <f>IF($G$4 = "MEDIA",ROUND(((Y75+AR75+BK75+CD75)/4),0),ROUND(((Y75+AR75+BK75)/3),0))</f>
        <v>0</v>
      </c>
      <c r="CF75" s="21"/>
      <c r="CG75" s="28">
        <f>IF(AND(CE75&lt;5,$G$4="BASICA"),ROUND((CE75+CF75)/2,0),IF(AND(CE75&lt;6,$G$4="MEDIA"),ROUND((CE75+CF75)/2,0),CE75))</f>
        <v>0</v>
      </c>
      <c r="CH75" s="16" t="str">
        <f>IF($G$4="MEDIA",IF(CG75&gt;=6,"Aprobado","Reprobado"),IF(CG75&gt;=5,"Aprobado","Reprobado"))</f>
        <v>Reprobado</v>
      </c>
    </row>
    <row r="76" spans="1:86" customHeight="1" ht="20.25">
      <c r="A76" s="43">
        <v>64</v>
      </c>
      <c r="B76" s="44">
        <v>10330811</v>
      </c>
      <c r="C76" s="44">
        <v>5040</v>
      </c>
      <c r="D76" s="44">
        <v>27012</v>
      </c>
      <c r="E76" s="44" t="s">
        <v>101</v>
      </c>
      <c r="F76" s="45" t="s">
        <v>37</v>
      </c>
      <c r="G76" s="32"/>
      <c r="H76" s="12"/>
      <c r="I76" s="12"/>
      <c r="J76" s="12"/>
      <c r="K76" s="12"/>
      <c r="L76" s="46">
        <f>IF(OR($G$4="MEDIA",$G$4="BASICA - TERCER CICLO"),ROUND(((G76*$G$11)+(H76*$H$11)+(I76*$I$11)+(J76*$J$11)+(K76*$K$11)*100)/35%,2),ROUND((G76*$G$11)+(H76*$H$11)+(I76*$I$11)+(J76*$J$11)+(K76*$K$11),2))</f>
        <v>0</v>
      </c>
      <c r="M76" s="12"/>
      <c r="N76" s="12"/>
      <c r="O76" s="12"/>
      <c r="P76" s="12"/>
      <c r="Q76" s="12"/>
      <c r="R76" s="46">
        <f>IF(OR($G$4="MEDIA",$G$4="BASICA - TERCER CICLO"),ROUND(((M76*$M$11)+(N76*$N$11)+(O76*$O$11)+(P76*$P$11)+(Q76*$Q$11)*100)/35%,2),ROUND((M76*$M$11)+(N76*$N$11)+(O76*$O$11)+(P76*$P$11)+(Q76*$Q$11),2))</f>
        <v>0</v>
      </c>
      <c r="S76" s="12"/>
      <c r="T76" s="12"/>
      <c r="U76" s="12"/>
      <c r="V76" s="13">
        <f>IF(OR($G$4="MEDIA",$G$4="BASICA - TERCER CICLO"),ROUND(((S76*$S$11)+(T76*$T$11)+(U76*$U$11)*100)/30%,2),ROUND(((S76*$S$11)+(T76*$T$11)+(U76*$U$11)*100)/30%,2))</f>
        <v>0</v>
      </c>
      <c r="W76" s="12"/>
      <c r="X76" s="14">
        <f>IF(OR($G$4="MEDIA",$G$4="BASICA - TERCER CICLO"),ROUND((W76*$W$11),2),ROUND((W76*$W$11),0))</f>
        <v>0</v>
      </c>
      <c r="Y76" s="47">
        <f>ROUND((L76+R76+V76)/3,1)</f>
        <v>0</v>
      </c>
      <c r="Z76" s="12"/>
      <c r="AA76" s="12"/>
      <c r="AB76" s="12"/>
      <c r="AC76" s="12"/>
      <c r="AD76" s="12"/>
      <c r="AE76" s="46">
        <f>IF(OR($G$4="MEDIA",$G$4="BASICA - TERCER CICLO"),ROUND(((Z76*$Z$11)+(AA76*$AA$11)+(AB76*$AB$11)+(AC76*$AC$11)+(AD76*$AD$11)*100)/35%,2),ROUND((Z76*$Z$11)+(AA76*$AA$11)+(AB76*$AB$11)+(AC76*$AC$11)+(AD76*$AD$11),2))</f>
        <v>0</v>
      </c>
      <c r="AF76" s="12"/>
      <c r="AG76" s="12"/>
      <c r="AH76" s="12"/>
      <c r="AI76" s="12"/>
      <c r="AJ76" s="12"/>
      <c r="AK76" s="46">
        <f>IF(OR($G$4="MEDIA",$G$4="BASICA - TERCER CICLO"),ROUND(((AF76*$AF$11)+(AG76*$AG$11)+(AH76*$AH$11)+(AI76*$AI$11)+(AJ76*$AJ$11)*100)/35%,2),ROUND((AF76*$AF$11)+(AG76*$AG$11)+(AH76*$AH$11)+(AI76*$AI$11)+(AJ76*$AJ$11),2))</f>
        <v>0</v>
      </c>
      <c r="AL76" s="12"/>
      <c r="AM76" s="12"/>
      <c r="AN76" s="12"/>
      <c r="AO76" s="46">
        <f>IF(OR($G$4="MEDIA",$G$4="BASICA - TERCER CICLO"),ROUND(((AL76*$AL$11)+(AM76*$AM$11)+(AN76*$AN$11)*100)/30%,2),ROUND(((AL76*$AL$11)+(AM76*$AM$11)+(AN76*$AN$11)*100)/30%,2))</f>
        <v>0</v>
      </c>
      <c r="AP76" s="12"/>
      <c r="AQ76" s="14">
        <f>IF(OR($G$4="MEDIA",$G$4="BASICA - TERCER CICLO"),ROUND((AP76*$AP$11),2),ROUND((AP76*$AP$11),0))</f>
        <v>0</v>
      </c>
      <c r="AR76" s="47">
        <f>ROUND((AE76+AK76+AO76)/3,1)</f>
        <v>0</v>
      </c>
      <c r="AS76" s="12"/>
      <c r="AT76" s="12"/>
      <c r="AU76" s="12"/>
      <c r="AV76" s="12"/>
      <c r="AW76" s="12"/>
      <c r="AX76" s="46">
        <f>IF(OR($G$4="MEDIA",$G$4="BASICA - TERCER CICLO"),ROUND(((AS76*$AS$11)+(AT76*$AT$11)+(AU76*$AU$11)+(AV76*$AV$11)+(AW76*$AW$11)*100)/35%,2),ROUND((AS76*$AS$11)+(AT76*$AT$11)+(AU76*$AU$11)+(AV76*$AV$11)+(AW76*$AW$11),2))</f>
        <v>0</v>
      </c>
      <c r="AY76" s="12"/>
      <c r="AZ76" s="12"/>
      <c r="BA76" s="12"/>
      <c r="BB76" s="12"/>
      <c r="BC76" s="12"/>
      <c r="BD76" s="46">
        <f>IF(OR($G$4="MEDIA",$G$4="BASICA - TERCER CICLO"),ROUND(((AY76*$AY$11)+(AZ76*$AZ$11)+(BA76*$BA$11)+(BB76*$BB$11)+(BC76*$BC$11)*100)/35%,2),ROUND((AY76*$AY$11)+(AZ76*$AZ$11)+(BA76*$BA$11)+(BB76*$BB$11)+(BC76*$BC$11),2))</f>
        <v>0</v>
      </c>
      <c r="BE76" s="12"/>
      <c r="BF76" s="12"/>
      <c r="BG76" s="12"/>
      <c r="BH76" s="46">
        <f>IF(OR($G$4="MEDIA",$G$4="BASICA - TERCER CICLO"),ROUND(((BE76*$BE$11)+(BF76*$BF$11)+(BG76*$BG$11)*100)/30%,2),ROUND(((BE76*$BE$11)+(BF76*$BF$11)+(BG76*$BG$11)*100)/30%,2))</f>
        <v>0</v>
      </c>
      <c r="BI76" s="12"/>
      <c r="BJ76" s="14">
        <f>IF(OR($G$4="MEDIA",$G$4="BASICA - TERCER CICLO"),ROUND((BI76*$BI$11),2),ROUND((BI76*$BI$11),0))</f>
        <v>0</v>
      </c>
      <c r="BK76" s="47">
        <f>ROUND((AX76+BD76+BH76)/3,1)</f>
        <v>0</v>
      </c>
      <c r="BL76" s="12"/>
      <c r="BM76" s="12"/>
      <c r="BN76" s="12"/>
      <c r="BO76" s="12"/>
      <c r="BP76" s="12"/>
      <c r="BQ76" s="13">
        <f>IF(OR($G$4="MEDIA",$G$4="BASICA - TERCER CICLO"),ROUND(((BL76*$BL$11)+(BM76*$BM$11)+(BN76*$BN$11)+(BO76*$BO$11)+(BP76*$BP$11)*100)/35%,2),ROUND(((BL76*$BL$11)+(BM76*$BM$11)+(BN76*$BN$11)+(BO76*$BO$11)+(BP76*$BP$11)*100)/35%,2))</f>
        <v>0</v>
      </c>
      <c r="BR76" s="12"/>
      <c r="BS76" s="12"/>
      <c r="BT76" s="12"/>
      <c r="BU76" s="12"/>
      <c r="BV76" s="12"/>
      <c r="BW76" s="13">
        <f>IF(OR($G$4="MEDIA",$G$4="BASICA - TERCER CICLO"),ROUND(((BR76*$BR$11)+(BS76*$BS$11)+(BT76*$BT$11)+(BU76*$BU$11)+(BV76*$BV$11)*100)/35%,2),ROUND(((BR76*$BR$11)+(BS76*$BS$11)+(BT76*$BT$11)+(BU76*$BU$11)+(BV76*$BP$11)*100)/35%,2))</f>
        <v>0</v>
      </c>
      <c r="BX76" s="12"/>
      <c r="BY76" s="12"/>
      <c r="BZ76" s="12"/>
      <c r="CA76" s="13">
        <f>IF(OR($G$4="MEDIA",$G$4="BASICA - TERCER CICLO"),ROUND(((BX76*$BX$11)+(BY76*$BY$11)+(BZ76*$BZ$11)*100)/30%,2),ROUND(((BX76*$BX$11)+(BY76*$BY$11)+(BZ76*$BZ$11)*100)/30%,2))</f>
        <v>0</v>
      </c>
      <c r="CB76" s="12"/>
      <c r="CC76" s="14">
        <f>IF(OR($G$4="MEDIA",$G$4="BASICA - TERCER CICLO"),ROUND((CB76*$BI$11),2),ROUND((CB76*$BI$11),0))</f>
        <v>0</v>
      </c>
      <c r="CD76" s="28">
        <f>IF(OR($G$4="MEDIA",$G$4="BASICA - TERCER CICLO"),ROUND((BQ76+BW76+CA76+CC76),1),IF($G$4="BASICA",ROUND((BQ76+BW76+CA76+CC76),0),ROUND((BQ76+BW76+CA76+CC76),1)))</f>
        <v>0</v>
      </c>
      <c r="CE76" s="28">
        <f>IF($G$4 = "MEDIA",ROUND(((Y76+AR76+BK76+CD76)/4),0),ROUND(((Y76+AR76+BK76)/3),0))</f>
        <v>0</v>
      </c>
      <c r="CF76" s="21"/>
      <c r="CG76" s="28">
        <f>IF(AND(CE76&lt;5,$G$4="BASICA"),ROUND((CE76+CF76)/2,0),IF(AND(CE76&lt;6,$G$4="MEDIA"),ROUND((CE76+CF76)/2,0),CE76))</f>
        <v>0</v>
      </c>
      <c r="CH76" s="16" t="str">
        <f>IF($G$4="MEDIA",IF(CG76&gt;=6,"Aprobado","Reprobado"),IF(CG76&gt;=5,"Aprobado","Reprobado"))</f>
        <v>Reprobado</v>
      </c>
    </row>
    <row r="77" spans="1:86" customHeight="1" ht="20.25">
      <c r="A77" s="43">
        <v>65</v>
      </c>
      <c r="B77" s="44">
        <v>10330800</v>
      </c>
      <c r="C77" s="44">
        <v>5045</v>
      </c>
      <c r="D77" s="44">
        <v>27013</v>
      </c>
      <c r="E77" s="44" t="s">
        <v>102</v>
      </c>
      <c r="F77" s="45" t="s">
        <v>37</v>
      </c>
      <c r="G77" s="32"/>
      <c r="H77" s="12"/>
      <c r="I77" s="12"/>
      <c r="J77" s="12"/>
      <c r="K77" s="12"/>
      <c r="L77" s="46">
        <f>IF(OR($G$4="MEDIA",$G$4="BASICA - TERCER CICLO"),ROUND(((G77*$G$11)+(H77*$H$11)+(I77*$I$11)+(J77*$J$11)+(K77*$K$11)*100)/35%,2),ROUND((G77*$G$11)+(H77*$H$11)+(I77*$I$11)+(J77*$J$11)+(K77*$K$11),2))</f>
        <v>0</v>
      </c>
      <c r="M77" s="12"/>
      <c r="N77" s="12"/>
      <c r="O77" s="12"/>
      <c r="P77" s="12"/>
      <c r="Q77" s="12"/>
      <c r="R77" s="46">
        <f>IF(OR($G$4="MEDIA",$G$4="BASICA - TERCER CICLO"),ROUND(((M77*$M$11)+(N77*$N$11)+(O77*$O$11)+(P77*$P$11)+(Q77*$Q$11)*100)/35%,2),ROUND((M77*$M$11)+(N77*$N$11)+(O77*$O$11)+(P77*$P$11)+(Q77*$Q$11),2))</f>
        <v>0</v>
      </c>
      <c r="S77" s="12"/>
      <c r="T77" s="12"/>
      <c r="U77" s="12"/>
      <c r="V77" s="13">
        <f>IF(OR($G$4="MEDIA",$G$4="BASICA - TERCER CICLO"),ROUND(((S77*$S$11)+(T77*$T$11)+(U77*$U$11)*100)/30%,2),ROUND(((S77*$S$11)+(T77*$T$11)+(U77*$U$11)*100)/30%,2))</f>
        <v>0</v>
      </c>
      <c r="W77" s="12"/>
      <c r="X77" s="14">
        <f>IF(OR($G$4="MEDIA",$G$4="BASICA - TERCER CICLO"),ROUND((W77*$W$11),2),ROUND((W77*$W$11),0))</f>
        <v>0</v>
      </c>
      <c r="Y77" s="47">
        <f>ROUND((L77+R77+V77)/3,1)</f>
        <v>0</v>
      </c>
      <c r="Z77" s="12"/>
      <c r="AA77" s="12"/>
      <c r="AB77" s="12"/>
      <c r="AC77" s="12"/>
      <c r="AD77" s="12"/>
      <c r="AE77" s="46">
        <f>IF(OR($G$4="MEDIA",$G$4="BASICA - TERCER CICLO"),ROUND(((Z77*$Z$11)+(AA77*$AA$11)+(AB77*$AB$11)+(AC77*$AC$11)+(AD77*$AD$11)*100)/35%,2),ROUND((Z77*$Z$11)+(AA77*$AA$11)+(AB77*$AB$11)+(AC77*$AC$11)+(AD77*$AD$11),2))</f>
        <v>0</v>
      </c>
      <c r="AF77" s="12"/>
      <c r="AG77" s="12"/>
      <c r="AH77" s="12"/>
      <c r="AI77" s="12"/>
      <c r="AJ77" s="12"/>
      <c r="AK77" s="46">
        <f>IF(OR($G$4="MEDIA",$G$4="BASICA - TERCER CICLO"),ROUND(((AF77*$AF$11)+(AG77*$AG$11)+(AH77*$AH$11)+(AI77*$AI$11)+(AJ77*$AJ$11)*100)/35%,2),ROUND((AF77*$AF$11)+(AG77*$AG$11)+(AH77*$AH$11)+(AI77*$AI$11)+(AJ77*$AJ$11),2))</f>
        <v>0</v>
      </c>
      <c r="AL77" s="12"/>
      <c r="AM77" s="12"/>
      <c r="AN77" s="12"/>
      <c r="AO77" s="46">
        <f>IF(OR($G$4="MEDIA",$G$4="BASICA - TERCER CICLO"),ROUND(((AL77*$AL$11)+(AM77*$AM$11)+(AN77*$AN$11)*100)/30%,2),ROUND(((AL77*$AL$11)+(AM77*$AM$11)+(AN77*$AN$11)*100)/30%,2))</f>
        <v>0</v>
      </c>
      <c r="AP77" s="12"/>
      <c r="AQ77" s="14">
        <f>IF(OR($G$4="MEDIA",$G$4="BASICA - TERCER CICLO"),ROUND((AP77*$AP$11),2),ROUND((AP77*$AP$11),0))</f>
        <v>0</v>
      </c>
      <c r="AR77" s="47">
        <f>ROUND((AE77+AK77+AO77)/3,1)</f>
        <v>0</v>
      </c>
      <c r="AS77" s="12"/>
      <c r="AT77" s="12"/>
      <c r="AU77" s="12"/>
      <c r="AV77" s="12"/>
      <c r="AW77" s="12"/>
      <c r="AX77" s="46">
        <f>IF(OR($G$4="MEDIA",$G$4="BASICA - TERCER CICLO"),ROUND(((AS77*$AS$11)+(AT77*$AT$11)+(AU77*$AU$11)+(AV77*$AV$11)+(AW77*$AW$11)*100)/35%,2),ROUND((AS77*$AS$11)+(AT77*$AT$11)+(AU77*$AU$11)+(AV77*$AV$11)+(AW77*$AW$11),2))</f>
        <v>0</v>
      </c>
      <c r="AY77" s="12"/>
      <c r="AZ77" s="12"/>
      <c r="BA77" s="12"/>
      <c r="BB77" s="12"/>
      <c r="BC77" s="12"/>
      <c r="BD77" s="46">
        <f>IF(OR($G$4="MEDIA",$G$4="BASICA - TERCER CICLO"),ROUND(((AY77*$AY$11)+(AZ77*$AZ$11)+(BA77*$BA$11)+(BB77*$BB$11)+(BC77*$BC$11)*100)/35%,2),ROUND((AY77*$AY$11)+(AZ77*$AZ$11)+(BA77*$BA$11)+(BB77*$BB$11)+(BC77*$BC$11),2))</f>
        <v>0</v>
      </c>
      <c r="BE77" s="12"/>
      <c r="BF77" s="12"/>
      <c r="BG77" s="12"/>
      <c r="BH77" s="46">
        <f>IF(OR($G$4="MEDIA",$G$4="BASICA - TERCER CICLO"),ROUND(((BE77*$BE$11)+(BF77*$BF$11)+(BG77*$BG$11)*100)/30%,2),ROUND(((BE77*$BE$11)+(BF77*$BF$11)+(BG77*$BG$11)*100)/30%,2))</f>
        <v>0</v>
      </c>
      <c r="BI77" s="12"/>
      <c r="BJ77" s="14">
        <f>IF(OR($G$4="MEDIA",$G$4="BASICA - TERCER CICLO"),ROUND((BI77*$BI$11),2),ROUND((BI77*$BI$11),0))</f>
        <v>0</v>
      </c>
      <c r="BK77" s="47">
        <f>ROUND((AX77+BD77+BH77)/3,1)</f>
        <v>0</v>
      </c>
      <c r="BL77" s="12"/>
      <c r="BM77" s="12"/>
      <c r="BN77" s="12"/>
      <c r="BO77" s="12"/>
      <c r="BP77" s="12"/>
      <c r="BQ77" s="13">
        <f>IF(OR($G$4="MEDIA",$G$4="BASICA - TERCER CICLO"),ROUND(((BL77*$BL$11)+(BM77*$BM$11)+(BN77*$BN$11)+(BO77*$BO$11)+(BP77*$BP$11)*100)/35%,2),ROUND(((BL77*$BL$11)+(BM77*$BM$11)+(BN77*$BN$11)+(BO77*$BO$11)+(BP77*$BP$11)*100)/35%,2))</f>
        <v>0</v>
      </c>
      <c r="BR77" s="12"/>
      <c r="BS77" s="12"/>
      <c r="BT77" s="12"/>
      <c r="BU77" s="12"/>
      <c r="BV77" s="12"/>
      <c r="BW77" s="13">
        <f>IF(OR($G$4="MEDIA",$G$4="BASICA - TERCER CICLO"),ROUND(((BR77*$BR$11)+(BS77*$BS$11)+(BT77*$BT$11)+(BU77*$BU$11)+(BV77*$BV$11)*100)/35%,2),ROUND(((BR77*$BR$11)+(BS77*$BS$11)+(BT77*$BT$11)+(BU77*$BU$11)+(BV77*$BP$11)*100)/35%,2))</f>
        <v>0</v>
      </c>
      <c r="BX77" s="12"/>
      <c r="BY77" s="12"/>
      <c r="BZ77" s="12"/>
      <c r="CA77" s="13">
        <f>IF(OR($G$4="MEDIA",$G$4="BASICA - TERCER CICLO"),ROUND(((BX77*$BX$11)+(BY77*$BY$11)+(BZ77*$BZ$11)*100)/30%,2),ROUND(((BX77*$BX$11)+(BY77*$BY$11)+(BZ77*$BZ$11)*100)/30%,2))</f>
        <v>0</v>
      </c>
      <c r="CB77" s="12"/>
      <c r="CC77" s="14">
        <f>IF(OR($G$4="MEDIA",$G$4="BASICA - TERCER CICLO"),ROUND((CB77*$BI$11),2),ROUND((CB77*$BI$11),0))</f>
        <v>0</v>
      </c>
      <c r="CD77" s="28">
        <f>IF(OR($G$4="MEDIA",$G$4="BASICA - TERCER CICLO"),ROUND((BQ77+BW77+CA77+CC77),1),IF($G$4="BASICA",ROUND((BQ77+BW77+CA77+CC77),0),ROUND((BQ77+BW77+CA77+CC77),1)))</f>
        <v>0</v>
      </c>
      <c r="CE77" s="28">
        <f>IF($G$4 = "MEDIA",ROUND(((Y77+AR77+BK77+CD77)/4),0),ROUND(((Y77+AR77+BK77)/3),0))</f>
        <v>0</v>
      </c>
      <c r="CF77" s="21"/>
      <c r="CG77" s="28">
        <f>IF(AND(CE77&lt;5,$G$4="BASICA"),ROUND((CE77+CF77)/2,0),IF(AND(CE77&lt;6,$G$4="MEDIA"),ROUND((CE77+CF77)/2,0),CE77))</f>
        <v>0</v>
      </c>
      <c r="CH77" s="16" t="str">
        <f>IF($G$4="MEDIA",IF(CG77&gt;=6,"Aprobado","Reprobado"),IF(CG77&gt;=5,"Aprobado","Reprobado"))</f>
        <v>Reprobado</v>
      </c>
    </row>
    <row r="78" spans="1:86" customHeight="1" ht="20.25">
      <c r="A78" s="43">
        <v>66</v>
      </c>
      <c r="B78" s="44">
        <v>10218308</v>
      </c>
      <c r="C78" s="44">
        <v>5093</v>
      </c>
      <c r="D78" s="44">
        <v>26992</v>
      </c>
      <c r="E78" s="44" t="s">
        <v>103</v>
      </c>
      <c r="F78" s="45" t="s">
        <v>37</v>
      </c>
      <c r="G78" s="32"/>
      <c r="H78" s="12"/>
      <c r="I78" s="12"/>
      <c r="J78" s="12"/>
      <c r="K78" s="12"/>
      <c r="L78" s="46">
        <f>IF(OR($G$4="MEDIA",$G$4="BASICA - TERCER CICLO"),ROUND(((G78*$G$11)+(H78*$H$11)+(I78*$I$11)+(J78*$J$11)+(K78*$K$11)*100)/35%,2),ROUND((G78*$G$11)+(H78*$H$11)+(I78*$I$11)+(J78*$J$11)+(K78*$K$11),2))</f>
        <v>0</v>
      </c>
      <c r="M78" s="12"/>
      <c r="N78" s="12"/>
      <c r="O78" s="12"/>
      <c r="P78" s="12"/>
      <c r="Q78" s="12"/>
      <c r="R78" s="46">
        <f>IF(OR($G$4="MEDIA",$G$4="BASICA - TERCER CICLO"),ROUND(((M78*$M$11)+(N78*$N$11)+(O78*$O$11)+(P78*$P$11)+(Q78*$Q$11)*100)/35%,2),ROUND((M78*$M$11)+(N78*$N$11)+(O78*$O$11)+(P78*$P$11)+(Q78*$Q$11),2))</f>
        <v>0</v>
      </c>
      <c r="S78" s="12"/>
      <c r="T78" s="12"/>
      <c r="U78" s="12"/>
      <c r="V78" s="13">
        <f>IF(OR($G$4="MEDIA",$G$4="BASICA - TERCER CICLO"),ROUND(((S78*$S$11)+(T78*$T$11)+(U78*$U$11)*100)/30%,2),ROUND(((S78*$S$11)+(T78*$T$11)+(U78*$U$11)*100)/30%,2))</f>
        <v>0</v>
      </c>
      <c r="W78" s="12"/>
      <c r="X78" s="14">
        <f>IF(OR($G$4="MEDIA",$G$4="BASICA - TERCER CICLO"),ROUND((W78*$W$11),2),ROUND((W78*$W$11),0))</f>
        <v>0</v>
      </c>
      <c r="Y78" s="47">
        <f>ROUND((L78+R78+V78)/3,1)</f>
        <v>0</v>
      </c>
      <c r="Z78" s="12"/>
      <c r="AA78" s="12"/>
      <c r="AB78" s="12"/>
      <c r="AC78" s="12"/>
      <c r="AD78" s="12"/>
      <c r="AE78" s="46">
        <f>IF(OR($G$4="MEDIA",$G$4="BASICA - TERCER CICLO"),ROUND(((Z78*$Z$11)+(AA78*$AA$11)+(AB78*$AB$11)+(AC78*$AC$11)+(AD78*$AD$11)*100)/35%,2),ROUND((Z78*$Z$11)+(AA78*$AA$11)+(AB78*$AB$11)+(AC78*$AC$11)+(AD78*$AD$11),2))</f>
        <v>0</v>
      </c>
      <c r="AF78" s="12"/>
      <c r="AG78" s="12"/>
      <c r="AH78" s="12"/>
      <c r="AI78" s="12"/>
      <c r="AJ78" s="12"/>
      <c r="AK78" s="46">
        <f>IF(OR($G$4="MEDIA",$G$4="BASICA - TERCER CICLO"),ROUND(((AF78*$AF$11)+(AG78*$AG$11)+(AH78*$AH$11)+(AI78*$AI$11)+(AJ78*$AJ$11)*100)/35%,2),ROUND((AF78*$AF$11)+(AG78*$AG$11)+(AH78*$AH$11)+(AI78*$AI$11)+(AJ78*$AJ$11),2))</f>
        <v>0</v>
      </c>
      <c r="AL78" s="12"/>
      <c r="AM78" s="12"/>
      <c r="AN78" s="12"/>
      <c r="AO78" s="46">
        <f>IF(OR($G$4="MEDIA",$G$4="BASICA - TERCER CICLO"),ROUND(((AL78*$AL$11)+(AM78*$AM$11)+(AN78*$AN$11)*100)/30%,2),ROUND(((AL78*$AL$11)+(AM78*$AM$11)+(AN78*$AN$11)*100)/30%,2))</f>
        <v>0</v>
      </c>
      <c r="AP78" s="12"/>
      <c r="AQ78" s="14">
        <f>IF(OR($G$4="MEDIA",$G$4="BASICA - TERCER CICLO"),ROUND((AP78*$AP$11),2),ROUND((AP78*$AP$11),0))</f>
        <v>0</v>
      </c>
      <c r="AR78" s="47">
        <f>ROUND((AE78+AK78+AO78)/3,1)</f>
        <v>0</v>
      </c>
      <c r="AS78" s="12"/>
      <c r="AT78" s="12"/>
      <c r="AU78" s="12"/>
      <c r="AV78" s="12"/>
      <c r="AW78" s="12"/>
      <c r="AX78" s="46">
        <f>IF(OR($G$4="MEDIA",$G$4="BASICA - TERCER CICLO"),ROUND(((AS78*$AS$11)+(AT78*$AT$11)+(AU78*$AU$11)+(AV78*$AV$11)+(AW78*$AW$11)*100)/35%,2),ROUND((AS78*$AS$11)+(AT78*$AT$11)+(AU78*$AU$11)+(AV78*$AV$11)+(AW78*$AW$11),2))</f>
        <v>0</v>
      </c>
      <c r="AY78" s="12"/>
      <c r="AZ78" s="12"/>
      <c r="BA78" s="12"/>
      <c r="BB78" s="12"/>
      <c r="BC78" s="12"/>
      <c r="BD78" s="46">
        <f>IF(OR($G$4="MEDIA",$G$4="BASICA - TERCER CICLO"),ROUND(((AY78*$AY$11)+(AZ78*$AZ$11)+(BA78*$BA$11)+(BB78*$BB$11)+(BC78*$BC$11)*100)/35%,2),ROUND((AY78*$AY$11)+(AZ78*$AZ$11)+(BA78*$BA$11)+(BB78*$BB$11)+(BC78*$BC$11),2))</f>
        <v>0</v>
      </c>
      <c r="BE78" s="12"/>
      <c r="BF78" s="12"/>
      <c r="BG78" s="12"/>
      <c r="BH78" s="46">
        <f>IF(OR($G$4="MEDIA",$G$4="BASICA - TERCER CICLO"),ROUND(((BE78*$BE$11)+(BF78*$BF$11)+(BG78*$BG$11)*100)/30%,2),ROUND(((BE78*$BE$11)+(BF78*$BF$11)+(BG78*$BG$11)*100)/30%,2))</f>
        <v>0</v>
      </c>
      <c r="BI78" s="12"/>
      <c r="BJ78" s="14">
        <f>IF(OR($G$4="MEDIA",$G$4="BASICA - TERCER CICLO"),ROUND((BI78*$BI$11),2),ROUND((BI78*$BI$11),0))</f>
        <v>0</v>
      </c>
      <c r="BK78" s="47">
        <f>ROUND((AX78+BD78+BH78)/3,1)</f>
        <v>0</v>
      </c>
      <c r="BL78" s="12"/>
      <c r="BM78" s="12"/>
      <c r="BN78" s="12"/>
      <c r="BO78" s="12"/>
      <c r="BP78" s="12"/>
      <c r="BQ78" s="13">
        <f>IF(OR($G$4="MEDIA",$G$4="BASICA - TERCER CICLO"),ROUND(((BL78*$BL$11)+(BM78*$BM$11)+(BN78*$BN$11)+(BO78*$BO$11)+(BP78*$BP$11)*100)/35%,2),ROUND(((BL78*$BL$11)+(BM78*$BM$11)+(BN78*$BN$11)+(BO78*$BO$11)+(BP78*$BP$11)*100)/35%,2))</f>
        <v>0</v>
      </c>
      <c r="BR78" s="12"/>
      <c r="BS78" s="12"/>
      <c r="BT78" s="12"/>
      <c r="BU78" s="12"/>
      <c r="BV78" s="12"/>
      <c r="BW78" s="13">
        <f>IF(OR($G$4="MEDIA",$G$4="BASICA - TERCER CICLO"),ROUND(((BR78*$BR$11)+(BS78*$BS$11)+(BT78*$BT$11)+(BU78*$BU$11)+(BV78*$BV$11)*100)/35%,2),ROUND(((BR78*$BR$11)+(BS78*$BS$11)+(BT78*$BT$11)+(BU78*$BU$11)+(BV78*$BP$11)*100)/35%,2))</f>
        <v>0</v>
      </c>
      <c r="BX78" s="12"/>
      <c r="BY78" s="12"/>
      <c r="BZ78" s="12"/>
      <c r="CA78" s="13">
        <f>IF(OR($G$4="MEDIA",$G$4="BASICA - TERCER CICLO"),ROUND(((BX78*$BX$11)+(BY78*$BY$11)+(BZ78*$BZ$11)*100)/30%,2),ROUND(((BX78*$BX$11)+(BY78*$BY$11)+(BZ78*$BZ$11)*100)/30%,2))</f>
        <v>0</v>
      </c>
      <c r="CB78" s="12"/>
      <c r="CC78" s="14">
        <f>IF(OR($G$4="MEDIA",$G$4="BASICA - TERCER CICLO"),ROUND((CB78*$BI$11),2),ROUND((CB78*$BI$11),0))</f>
        <v>0</v>
      </c>
      <c r="CD78" s="28">
        <f>IF(OR($G$4="MEDIA",$G$4="BASICA - TERCER CICLO"),ROUND((BQ78+BW78+CA78+CC78),1),IF($G$4="BASICA",ROUND((BQ78+BW78+CA78+CC78),0),ROUND((BQ78+BW78+CA78+CC78),1)))</f>
        <v>0</v>
      </c>
      <c r="CE78" s="28">
        <f>IF($G$4 = "MEDIA",ROUND(((Y78+AR78+BK78+CD78)/4),0),ROUND(((Y78+AR78+BK78)/3),0))</f>
        <v>0</v>
      </c>
      <c r="CF78" s="21"/>
      <c r="CG78" s="28">
        <f>IF(AND(CE78&lt;5,$G$4="BASICA"),ROUND((CE78+CF78)/2,0),IF(AND(CE78&lt;6,$G$4="MEDIA"),ROUND((CE78+CF78)/2,0),CE78))</f>
        <v>0</v>
      </c>
      <c r="CH78" s="16" t="str">
        <f>IF($G$4="MEDIA",IF(CG78&gt;=6,"Aprobado","Reprobado"),IF(CG78&gt;=5,"Aprobado","Reprobado"))</f>
        <v>Reprobado</v>
      </c>
    </row>
    <row r="79" spans="1:86" customHeight="1" ht="20.25">
      <c r="A79" s="43">
        <v>67</v>
      </c>
      <c r="B79" s="44">
        <v>10493694</v>
      </c>
      <c r="C79" s="44">
        <v>5119</v>
      </c>
      <c r="D79" s="44">
        <v>27014</v>
      </c>
      <c r="E79" s="44" t="s">
        <v>104</v>
      </c>
      <c r="F79" s="45" t="s">
        <v>39</v>
      </c>
      <c r="G79" s="32"/>
      <c r="H79" s="12"/>
      <c r="I79" s="12"/>
      <c r="J79" s="12"/>
      <c r="K79" s="12"/>
      <c r="L79" s="46">
        <f>IF(OR($G$4="MEDIA",$G$4="BASICA - TERCER CICLO"),ROUND(((G79*$G$11)+(H79*$H$11)+(I79*$I$11)+(J79*$J$11)+(K79*$K$11)*100)/35%,2),ROUND((G79*$G$11)+(H79*$H$11)+(I79*$I$11)+(J79*$J$11)+(K79*$K$11),2))</f>
        <v>0</v>
      </c>
      <c r="M79" s="12"/>
      <c r="N79" s="12"/>
      <c r="O79" s="12"/>
      <c r="P79" s="12"/>
      <c r="Q79" s="12"/>
      <c r="R79" s="46">
        <f>IF(OR($G$4="MEDIA",$G$4="BASICA - TERCER CICLO"),ROUND(((M79*$M$11)+(N79*$N$11)+(O79*$O$11)+(P79*$P$11)+(Q79*$Q$11)*100)/35%,2),ROUND((M79*$M$11)+(N79*$N$11)+(O79*$O$11)+(P79*$P$11)+(Q79*$Q$11),2))</f>
        <v>0</v>
      </c>
      <c r="S79" s="12"/>
      <c r="T79" s="12"/>
      <c r="U79" s="12"/>
      <c r="V79" s="13">
        <f>IF(OR($G$4="MEDIA",$G$4="BASICA - TERCER CICLO"),ROUND(((S79*$S$11)+(T79*$T$11)+(U79*$U$11)*100)/30%,2),ROUND(((S79*$S$11)+(T79*$T$11)+(U79*$U$11)*100)/30%,2))</f>
        <v>0</v>
      </c>
      <c r="W79" s="12"/>
      <c r="X79" s="14">
        <f>IF(OR($G$4="MEDIA",$G$4="BASICA - TERCER CICLO"),ROUND((W79*$W$11),2),ROUND((W79*$W$11),0))</f>
        <v>0</v>
      </c>
      <c r="Y79" s="47">
        <f>ROUND((L79+R79+V79)/3,1)</f>
        <v>0</v>
      </c>
      <c r="Z79" s="12"/>
      <c r="AA79" s="12"/>
      <c r="AB79" s="12"/>
      <c r="AC79" s="12"/>
      <c r="AD79" s="12"/>
      <c r="AE79" s="46">
        <f>IF(OR($G$4="MEDIA",$G$4="BASICA - TERCER CICLO"),ROUND(((Z79*$Z$11)+(AA79*$AA$11)+(AB79*$AB$11)+(AC79*$AC$11)+(AD79*$AD$11)*100)/35%,2),ROUND((Z79*$Z$11)+(AA79*$AA$11)+(AB79*$AB$11)+(AC79*$AC$11)+(AD79*$AD$11),2))</f>
        <v>0</v>
      </c>
      <c r="AF79" s="12"/>
      <c r="AG79" s="12"/>
      <c r="AH79" s="12"/>
      <c r="AI79" s="12"/>
      <c r="AJ79" s="12"/>
      <c r="AK79" s="46">
        <f>IF(OR($G$4="MEDIA",$G$4="BASICA - TERCER CICLO"),ROUND(((AF79*$AF$11)+(AG79*$AG$11)+(AH79*$AH$11)+(AI79*$AI$11)+(AJ79*$AJ$11)*100)/35%,2),ROUND((AF79*$AF$11)+(AG79*$AG$11)+(AH79*$AH$11)+(AI79*$AI$11)+(AJ79*$AJ$11),2))</f>
        <v>0</v>
      </c>
      <c r="AL79" s="12"/>
      <c r="AM79" s="12"/>
      <c r="AN79" s="12"/>
      <c r="AO79" s="46">
        <f>IF(OR($G$4="MEDIA",$G$4="BASICA - TERCER CICLO"),ROUND(((AL79*$AL$11)+(AM79*$AM$11)+(AN79*$AN$11)*100)/30%,2),ROUND(((AL79*$AL$11)+(AM79*$AM$11)+(AN79*$AN$11)*100)/30%,2))</f>
        <v>0</v>
      </c>
      <c r="AP79" s="12"/>
      <c r="AQ79" s="14">
        <f>IF(OR($G$4="MEDIA",$G$4="BASICA - TERCER CICLO"),ROUND((AP79*$AP$11),2),ROUND((AP79*$AP$11),0))</f>
        <v>0</v>
      </c>
      <c r="AR79" s="47">
        <f>ROUND((AE79+AK79+AO79)/3,1)</f>
        <v>0</v>
      </c>
      <c r="AS79" s="12"/>
      <c r="AT79" s="12"/>
      <c r="AU79" s="12"/>
      <c r="AV79" s="12"/>
      <c r="AW79" s="12"/>
      <c r="AX79" s="46">
        <f>IF(OR($G$4="MEDIA",$G$4="BASICA - TERCER CICLO"),ROUND(((AS79*$AS$11)+(AT79*$AT$11)+(AU79*$AU$11)+(AV79*$AV$11)+(AW79*$AW$11)*100)/35%,2),ROUND((AS79*$AS$11)+(AT79*$AT$11)+(AU79*$AU$11)+(AV79*$AV$11)+(AW79*$AW$11),2))</f>
        <v>0</v>
      </c>
      <c r="AY79" s="12"/>
      <c r="AZ79" s="12"/>
      <c r="BA79" s="12"/>
      <c r="BB79" s="12"/>
      <c r="BC79" s="12"/>
      <c r="BD79" s="46">
        <f>IF(OR($G$4="MEDIA",$G$4="BASICA - TERCER CICLO"),ROUND(((AY79*$AY$11)+(AZ79*$AZ$11)+(BA79*$BA$11)+(BB79*$BB$11)+(BC79*$BC$11)*100)/35%,2),ROUND((AY79*$AY$11)+(AZ79*$AZ$11)+(BA79*$BA$11)+(BB79*$BB$11)+(BC79*$BC$11),2))</f>
        <v>0</v>
      </c>
      <c r="BE79" s="12"/>
      <c r="BF79" s="12"/>
      <c r="BG79" s="12"/>
      <c r="BH79" s="46">
        <f>IF(OR($G$4="MEDIA",$G$4="BASICA - TERCER CICLO"),ROUND(((BE79*$BE$11)+(BF79*$BF$11)+(BG79*$BG$11)*100)/30%,2),ROUND(((BE79*$BE$11)+(BF79*$BF$11)+(BG79*$BG$11)*100)/30%,2))</f>
        <v>0</v>
      </c>
      <c r="BI79" s="12"/>
      <c r="BJ79" s="14">
        <f>IF(OR($G$4="MEDIA",$G$4="BASICA - TERCER CICLO"),ROUND((BI79*$BI$11),2),ROUND((BI79*$BI$11),0))</f>
        <v>0</v>
      </c>
      <c r="BK79" s="47">
        <f>ROUND((AX79+BD79+BH79)/3,1)</f>
        <v>0</v>
      </c>
      <c r="BL79" s="12"/>
      <c r="BM79" s="12"/>
      <c r="BN79" s="12"/>
      <c r="BO79" s="12"/>
      <c r="BP79" s="12"/>
      <c r="BQ79" s="13">
        <f>IF(OR($G$4="MEDIA",$G$4="BASICA - TERCER CICLO"),ROUND(((BL79*$BL$11)+(BM79*$BM$11)+(BN79*$BN$11)+(BO79*$BO$11)+(BP79*$BP$11)*100)/35%,2),ROUND(((BL79*$BL$11)+(BM79*$BM$11)+(BN79*$BN$11)+(BO79*$BO$11)+(BP79*$BP$11)*100)/35%,2))</f>
        <v>0</v>
      </c>
      <c r="BR79" s="12"/>
      <c r="BS79" s="12"/>
      <c r="BT79" s="12"/>
      <c r="BU79" s="12"/>
      <c r="BV79" s="12"/>
      <c r="BW79" s="13">
        <f>IF(OR($G$4="MEDIA",$G$4="BASICA - TERCER CICLO"),ROUND(((BR79*$BR$11)+(BS79*$BS$11)+(BT79*$BT$11)+(BU79*$BU$11)+(BV79*$BV$11)*100)/35%,2),ROUND(((BR79*$BR$11)+(BS79*$BS$11)+(BT79*$BT$11)+(BU79*$BU$11)+(BV79*$BP$11)*100)/35%,2))</f>
        <v>0</v>
      </c>
      <c r="BX79" s="12"/>
      <c r="BY79" s="12"/>
      <c r="BZ79" s="12"/>
      <c r="CA79" s="13">
        <f>IF(OR($G$4="MEDIA",$G$4="BASICA - TERCER CICLO"),ROUND(((BX79*$BX$11)+(BY79*$BY$11)+(BZ79*$BZ$11)*100)/30%,2),ROUND(((BX79*$BX$11)+(BY79*$BY$11)+(BZ79*$BZ$11)*100)/30%,2))</f>
        <v>0</v>
      </c>
      <c r="CB79" s="12"/>
      <c r="CC79" s="14">
        <f>IF(OR($G$4="MEDIA",$G$4="BASICA - TERCER CICLO"),ROUND((CB79*$BI$11),2),ROUND((CB79*$BI$11),0))</f>
        <v>0</v>
      </c>
      <c r="CD79" s="28">
        <f>IF(OR($G$4="MEDIA",$G$4="BASICA - TERCER CICLO"),ROUND((BQ79+BW79+CA79+CC79),1),IF($G$4="BASICA",ROUND((BQ79+BW79+CA79+CC79),0),ROUND((BQ79+BW79+CA79+CC79),1)))</f>
        <v>0</v>
      </c>
      <c r="CE79" s="28">
        <f>IF($G$4 = "MEDIA",ROUND(((Y79+AR79+BK79+CD79)/4),0),ROUND(((Y79+AR79+BK79)/3),0))</f>
        <v>0</v>
      </c>
      <c r="CF79" s="21"/>
      <c r="CG79" s="28">
        <f>IF(AND(CE79&lt;5,$G$4="BASICA"),ROUND((CE79+CF79)/2,0),IF(AND(CE79&lt;6,$G$4="MEDIA"),ROUND((CE79+CF79)/2,0),CE79))</f>
        <v>0</v>
      </c>
      <c r="CH79" s="16" t="str">
        <f>IF($G$4="MEDIA",IF(CG79&gt;=6,"Aprobado","Reprobado"),IF(CG79&gt;=5,"Aprobado","Reprobado"))</f>
        <v>Reprobado</v>
      </c>
    </row>
    <row r="80" spans="1:86" customHeight="1" ht="20.25">
      <c r="A80" s="43">
        <v>68</v>
      </c>
      <c r="B80" s="44">
        <v>10282526</v>
      </c>
      <c r="C80" s="44">
        <v>4406</v>
      </c>
      <c r="D80" s="44">
        <v>27015</v>
      </c>
      <c r="E80" s="44" t="s">
        <v>105</v>
      </c>
      <c r="F80" s="45" t="s">
        <v>37</v>
      </c>
      <c r="G80" s="32"/>
      <c r="H80" s="12"/>
      <c r="I80" s="12"/>
      <c r="J80" s="12"/>
      <c r="K80" s="12"/>
      <c r="L80" s="46">
        <f>IF(OR($G$4="MEDIA",$G$4="BASICA - TERCER CICLO"),ROUND(((G80*$G$11)+(H80*$H$11)+(I80*$I$11)+(J80*$J$11)+(K80*$K$11)*100)/35%,2),ROUND((G80*$G$11)+(H80*$H$11)+(I80*$I$11)+(J80*$J$11)+(K80*$K$11),2))</f>
        <v>0</v>
      </c>
      <c r="M80" s="12"/>
      <c r="N80" s="12"/>
      <c r="O80" s="12"/>
      <c r="P80" s="12"/>
      <c r="Q80" s="12"/>
      <c r="R80" s="46">
        <f>IF(OR($G$4="MEDIA",$G$4="BASICA - TERCER CICLO"),ROUND(((M80*$M$11)+(N80*$N$11)+(O80*$O$11)+(P80*$P$11)+(Q80*$Q$11)*100)/35%,2),ROUND((M80*$M$11)+(N80*$N$11)+(O80*$O$11)+(P80*$P$11)+(Q80*$Q$11),2))</f>
        <v>0</v>
      </c>
      <c r="S80" s="12"/>
      <c r="T80" s="12"/>
      <c r="U80" s="12"/>
      <c r="V80" s="13">
        <f>IF(OR($G$4="MEDIA",$G$4="BASICA - TERCER CICLO"),ROUND(((S80*$S$11)+(T80*$T$11)+(U80*$U$11)*100)/30%,2),ROUND(((S80*$S$11)+(T80*$T$11)+(U80*$U$11)*100)/30%,2))</f>
        <v>0</v>
      </c>
      <c r="W80" s="12"/>
      <c r="X80" s="14">
        <f>IF(OR($G$4="MEDIA",$G$4="BASICA - TERCER CICLO"),ROUND((W80*$W$11),2),ROUND((W80*$W$11),0))</f>
        <v>0</v>
      </c>
      <c r="Y80" s="47">
        <f>ROUND((L80+R80+V80)/3,1)</f>
        <v>0</v>
      </c>
      <c r="Z80" s="12"/>
      <c r="AA80" s="12"/>
      <c r="AB80" s="12"/>
      <c r="AC80" s="12"/>
      <c r="AD80" s="12"/>
      <c r="AE80" s="46">
        <f>IF(OR($G$4="MEDIA",$G$4="BASICA - TERCER CICLO"),ROUND(((Z80*$Z$11)+(AA80*$AA$11)+(AB80*$AB$11)+(AC80*$AC$11)+(AD80*$AD$11)*100)/35%,2),ROUND((Z80*$Z$11)+(AA80*$AA$11)+(AB80*$AB$11)+(AC80*$AC$11)+(AD80*$AD$11),2))</f>
        <v>0</v>
      </c>
      <c r="AF80" s="12"/>
      <c r="AG80" s="12"/>
      <c r="AH80" s="12"/>
      <c r="AI80" s="12"/>
      <c r="AJ80" s="12"/>
      <c r="AK80" s="46">
        <f>IF(OR($G$4="MEDIA",$G$4="BASICA - TERCER CICLO"),ROUND(((AF80*$AF$11)+(AG80*$AG$11)+(AH80*$AH$11)+(AI80*$AI$11)+(AJ80*$AJ$11)*100)/35%,2),ROUND((AF80*$AF$11)+(AG80*$AG$11)+(AH80*$AH$11)+(AI80*$AI$11)+(AJ80*$AJ$11),2))</f>
        <v>0</v>
      </c>
      <c r="AL80" s="12"/>
      <c r="AM80" s="12"/>
      <c r="AN80" s="12"/>
      <c r="AO80" s="46">
        <f>IF(OR($G$4="MEDIA",$G$4="BASICA - TERCER CICLO"),ROUND(((AL80*$AL$11)+(AM80*$AM$11)+(AN80*$AN$11)*100)/30%,2),ROUND(((AL80*$AL$11)+(AM80*$AM$11)+(AN80*$AN$11)*100)/30%,2))</f>
        <v>0</v>
      </c>
      <c r="AP80" s="12"/>
      <c r="AQ80" s="14">
        <f>IF(OR($G$4="MEDIA",$G$4="BASICA - TERCER CICLO"),ROUND((AP80*$AP$11),2),ROUND((AP80*$AP$11),0))</f>
        <v>0</v>
      </c>
      <c r="AR80" s="47">
        <f>ROUND((AE80+AK80+AO80)/3,1)</f>
        <v>0</v>
      </c>
      <c r="AS80" s="12"/>
      <c r="AT80" s="12"/>
      <c r="AU80" s="12"/>
      <c r="AV80" s="12"/>
      <c r="AW80" s="12"/>
      <c r="AX80" s="46">
        <f>IF(OR($G$4="MEDIA",$G$4="BASICA - TERCER CICLO"),ROUND(((AS80*$AS$11)+(AT80*$AT$11)+(AU80*$AU$11)+(AV80*$AV$11)+(AW80*$AW$11)*100)/35%,2),ROUND((AS80*$AS$11)+(AT80*$AT$11)+(AU80*$AU$11)+(AV80*$AV$11)+(AW80*$AW$11),2))</f>
        <v>0</v>
      </c>
      <c r="AY80" s="12"/>
      <c r="AZ80" s="12"/>
      <c r="BA80" s="12"/>
      <c r="BB80" s="12"/>
      <c r="BC80" s="12"/>
      <c r="BD80" s="46">
        <f>IF(OR($G$4="MEDIA",$G$4="BASICA - TERCER CICLO"),ROUND(((AY80*$AY$11)+(AZ80*$AZ$11)+(BA80*$BA$11)+(BB80*$BB$11)+(BC80*$BC$11)*100)/35%,2),ROUND((AY80*$AY$11)+(AZ80*$AZ$11)+(BA80*$BA$11)+(BB80*$BB$11)+(BC80*$BC$11),2))</f>
        <v>0</v>
      </c>
      <c r="BE80" s="12"/>
      <c r="BF80" s="12"/>
      <c r="BG80" s="12"/>
      <c r="BH80" s="46">
        <f>IF(OR($G$4="MEDIA",$G$4="BASICA - TERCER CICLO"),ROUND(((BE80*$BE$11)+(BF80*$BF$11)+(BG80*$BG$11)*100)/30%,2),ROUND(((BE80*$BE$11)+(BF80*$BF$11)+(BG80*$BG$11)*100)/30%,2))</f>
        <v>0</v>
      </c>
      <c r="BI80" s="12"/>
      <c r="BJ80" s="14">
        <f>IF(OR($G$4="MEDIA",$G$4="BASICA - TERCER CICLO"),ROUND((BI80*$BI$11),2),ROUND((BI80*$BI$11),0))</f>
        <v>0</v>
      </c>
      <c r="BK80" s="47">
        <f>ROUND((AX80+BD80+BH80)/3,1)</f>
        <v>0</v>
      </c>
      <c r="BL80" s="12"/>
      <c r="BM80" s="12"/>
      <c r="BN80" s="12"/>
      <c r="BO80" s="12"/>
      <c r="BP80" s="12"/>
      <c r="BQ80" s="13">
        <f>IF(OR($G$4="MEDIA",$G$4="BASICA - TERCER CICLO"),ROUND(((BL80*$BL$11)+(BM80*$BM$11)+(BN80*$BN$11)+(BO80*$BO$11)+(BP80*$BP$11)*100)/35%,2),ROUND(((BL80*$BL$11)+(BM80*$BM$11)+(BN80*$BN$11)+(BO80*$BO$11)+(BP80*$BP$11)*100)/35%,2))</f>
        <v>0</v>
      </c>
      <c r="BR80" s="12"/>
      <c r="BS80" s="12"/>
      <c r="BT80" s="12"/>
      <c r="BU80" s="12"/>
      <c r="BV80" s="12"/>
      <c r="BW80" s="13">
        <f>IF(OR($G$4="MEDIA",$G$4="BASICA - TERCER CICLO"),ROUND(((BR80*$BR$11)+(BS80*$BS$11)+(BT80*$BT$11)+(BU80*$BU$11)+(BV80*$BV$11)*100)/35%,2),ROUND(((BR80*$BR$11)+(BS80*$BS$11)+(BT80*$BT$11)+(BU80*$BU$11)+(BV80*$BP$11)*100)/35%,2))</f>
        <v>0</v>
      </c>
      <c r="BX80" s="12"/>
      <c r="BY80" s="12"/>
      <c r="BZ80" s="12"/>
      <c r="CA80" s="13">
        <f>IF(OR($G$4="MEDIA",$G$4="BASICA - TERCER CICLO"),ROUND(((BX80*$BX$11)+(BY80*$BY$11)+(BZ80*$BZ$11)*100)/30%,2),ROUND(((BX80*$BX$11)+(BY80*$BY$11)+(BZ80*$BZ$11)*100)/30%,2))</f>
        <v>0</v>
      </c>
      <c r="CB80" s="12"/>
      <c r="CC80" s="14">
        <f>IF(OR($G$4="MEDIA",$G$4="BASICA - TERCER CICLO"),ROUND((CB80*$BI$11),2),ROUND((CB80*$BI$11),0))</f>
        <v>0</v>
      </c>
      <c r="CD80" s="28">
        <f>IF(OR($G$4="MEDIA",$G$4="BASICA - TERCER CICLO"),ROUND((BQ80+BW80+CA80+CC80),1),IF($G$4="BASICA",ROUND((BQ80+BW80+CA80+CC80),0),ROUND((BQ80+BW80+CA80+CC80),1)))</f>
        <v>0</v>
      </c>
      <c r="CE80" s="28">
        <f>IF($G$4 = "MEDIA",ROUND(((Y80+AR80+BK80+CD80)/4),0),ROUND(((Y80+AR80+BK80)/3),0))</f>
        <v>0</v>
      </c>
      <c r="CF80" s="21"/>
      <c r="CG80" s="28">
        <f>IF(AND(CE80&lt;5,$G$4="BASICA"),ROUND((CE80+CF80)/2,0),IF(AND(CE80&lt;6,$G$4="MEDIA"),ROUND((CE80+CF80)/2,0),CE80))</f>
        <v>0</v>
      </c>
      <c r="CH80" s="16" t="str">
        <f>IF($G$4="MEDIA",IF(CG80&gt;=6,"Aprobado","Reprobado"),IF(CG80&gt;=5,"Aprobado","Reprobado"))</f>
        <v>Reprobado</v>
      </c>
    </row>
    <row r="81" spans="1:86" customHeight="1" ht="20.25">
      <c r="A81" s="43">
        <v>69</v>
      </c>
      <c r="B81" s="44">
        <v>10414902</v>
      </c>
      <c r="C81" s="44">
        <v>4982</v>
      </c>
      <c r="D81" s="44">
        <v>27016</v>
      </c>
      <c r="E81" s="44" t="s">
        <v>106</v>
      </c>
      <c r="F81" s="45" t="s">
        <v>39</v>
      </c>
      <c r="G81" s="32"/>
      <c r="H81" s="12"/>
      <c r="I81" s="12"/>
      <c r="J81" s="12"/>
      <c r="K81" s="12"/>
      <c r="L81" s="46">
        <f>IF(OR($G$4="MEDIA",$G$4="BASICA - TERCER CICLO"),ROUND(((G81*$G$11)+(H81*$H$11)+(I81*$I$11)+(J81*$J$11)+(K81*$K$11)*100)/35%,2),ROUND((G81*$G$11)+(H81*$H$11)+(I81*$I$11)+(J81*$J$11)+(K81*$K$11),2))</f>
        <v>0</v>
      </c>
      <c r="M81" s="12"/>
      <c r="N81" s="12"/>
      <c r="O81" s="12"/>
      <c r="P81" s="12"/>
      <c r="Q81" s="12"/>
      <c r="R81" s="46">
        <f>IF(OR($G$4="MEDIA",$G$4="BASICA - TERCER CICLO"),ROUND(((M81*$M$11)+(N81*$N$11)+(O81*$O$11)+(P81*$P$11)+(Q81*$Q$11)*100)/35%,2),ROUND((M81*$M$11)+(N81*$N$11)+(O81*$O$11)+(P81*$P$11)+(Q81*$Q$11),2))</f>
        <v>0</v>
      </c>
      <c r="S81" s="12"/>
      <c r="T81" s="12"/>
      <c r="U81" s="12"/>
      <c r="V81" s="13">
        <f>IF(OR($G$4="MEDIA",$G$4="BASICA - TERCER CICLO"),ROUND(((S81*$S$11)+(T81*$T$11)+(U81*$U$11)*100)/30%,2),ROUND(((S81*$S$11)+(T81*$T$11)+(U81*$U$11)*100)/30%,2))</f>
        <v>0</v>
      </c>
      <c r="W81" s="12"/>
      <c r="X81" s="14">
        <f>IF(OR($G$4="MEDIA",$G$4="BASICA - TERCER CICLO"),ROUND((W81*$W$11),2),ROUND((W81*$W$11),0))</f>
        <v>0</v>
      </c>
      <c r="Y81" s="47">
        <f>ROUND((L81+R81+V81)/3,1)</f>
        <v>0</v>
      </c>
      <c r="Z81" s="12"/>
      <c r="AA81" s="12"/>
      <c r="AB81" s="12"/>
      <c r="AC81" s="12"/>
      <c r="AD81" s="12"/>
      <c r="AE81" s="46">
        <f>IF(OR($G$4="MEDIA",$G$4="BASICA - TERCER CICLO"),ROUND(((Z81*$Z$11)+(AA81*$AA$11)+(AB81*$AB$11)+(AC81*$AC$11)+(AD81*$AD$11)*100)/35%,2),ROUND((Z81*$Z$11)+(AA81*$AA$11)+(AB81*$AB$11)+(AC81*$AC$11)+(AD81*$AD$11),2))</f>
        <v>0</v>
      </c>
      <c r="AF81" s="12"/>
      <c r="AG81" s="12"/>
      <c r="AH81" s="12"/>
      <c r="AI81" s="12"/>
      <c r="AJ81" s="12"/>
      <c r="AK81" s="46">
        <f>IF(OR($G$4="MEDIA",$G$4="BASICA - TERCER CICLO"),ROUND(((AF81*$AF$11)+(AG81*$AG$11)+(AH81*$AH$11)+(AI81*$AI$11)+(AJ81*$AJ$11)*100)/35%,2),ROUND((AF81*$AF$11)+(AG81*$AG$11)+(AH81*$AH$11)+(AI81*$AI$11)+(AJ81*$AJ$11),2))</f>
        <v>0</v>
      </c>
      <c r="AL81" s="12"/>
      <c r="AM81" s="12"/>
      <c r="AN81" s="12"/>
      <c r="AO81" s="46">
        <f>IF(OR($G$4="MEDIA",$G$4="BASICA - TERCER CICLO"),ROUND(((AL81*$AL$11)+(AM81*$AM$11)+(AN81*$AN$11)*100)/30%,2),ROUND(((AL81*$AL$11)+(AM81*$AM$11)+(AN81*$AN$11)*100)/30%,2))</f>
        <v>0</v>
      </c>
      <c r="AP81" s="12"/>
      <c r="AQ81" s="14">
        <f>IF(OR($G$4="MEDIA",$G$4="BASICA - TERCER CICLO"),ROUND((AP81*$AP$11),2),ROUND((AP81*$AP$11),0))</f>
        <v>0</v>
      </c>
      <c r="AR81" s="47">
        <f>ROUND((AE81+AK81+AO81)/3,1)</f>
        <v>0</v>
      </c>
      <c r="AS81" s="12"/>
      <c r="AT81" s="12"/>
      <c r="AU81" s="12"/>
      <c r="AV81" s="12"/>
      <c r="AW81" s="12"/>
      <c r="AX81" s="46">
        <f>IF(OR($G$4="MEDIA",$G$4="BASICA - TERCER CICLO"),ROUND(((AS81*$AS$11)+(AT81*$AT$11)+(AU81*$AU$11)+(AV81*$AV$11)+(AW81*$AW$11)*100)/35%,2),ROUND((AS81*$AS$11)+(AT81*$AT$11)+(AU81*$AU$11)+(AV81*$AV$11)+(AW81*$AW$11),2))</f>
        <v>0</v>
      </c>
      <c r="AY81" s="12"/>
      <c r="AZ81" s="12"/>
      <c r="BA81" s="12"/>
      <c r="BB81" s="12"/>
      <c r="BC81" s="12"/>
      <c r="BD81" s="46">
        <f>IF(OR($G$4="MEDIA",$G$4="BASICA - TERCER CICLO"),ROUND(((AY81*$AY$11)+(AZ81*$AZ$11)+(BA81*$BA$11)+(BB81*$BB$11)+(BC81*$BC$11)*100)/35%,2),ROUND((AY81*$AY$11)+(AZ81*$AZ$11)+(BA81*$BA$11)+(BB81*$BB$11)+(BC81*$BC$11),2))</f>
        <v>0</v>
      </c>
      <c r="BE81" s="12"/>
      <c r="BF81" s="12"/>
      <c r="BG81" s="12"/>
      <c r="BH81" s="46">
        <f>IF(OR($G$4="MEDIA",$G$4="BASICA - TERCER CICLO"),ROUND(((BE81*$BE$11)+(BF81*$BF$11)+(BG81*$BG$11)*100)/30%,2),ROUND(((BE81*$BE$11)+(BF81*$BF$11)+(BG81*$BG$11)*100)/30%,2))</f>
        <v>0</v>
      </c>
      <c r="BI81" s="12"/>
      <c r="BJ81" s="14">
        <f>IF(OR($G$4="MEDIA",$G$4="BASICA - TERCER CICLO"),ROUND((BI81*$BI$11),2),ROUND((BI81*$BI$11),0))</f>
        <v>0</v>
      </c>
      <c r="BK81" s="47">
        <f>ROUND((AX81+BD81+BH81)/3,1)</f>
        <v>0</v>
      </c>
      <c r="BL81" s="12"/>
      <c r="BM81" s="12"/>
      <c r="BN81" s="12"/>
      <c r="BO81" s="12"/>
      <c r="BP81" s="12"/>
      <c r="BQ81" s="13">
        <f>IF(OR($G$4="MEDIA",$G$4="BASICA - TERCER CICLO"),ROUND(((BL81*$BL$11)+(BM81*$BM$11)+(BN81*$BN$11)+(BO81*$BO$11)+(BP81*$BP$11)*100)/35%,2),ROUND(((BL81*$BL$11)+(BM81*$BM$11)+(BN81*$BN$11)+(BO81*$BO$11)+(BP81*$BP$11)*100)/35%,2))</f>
        <v>0</v>
      </c>
      <c r="BR81" s="12"/>
      <c r="BS81" s="12"/>
      <c r="BT81" s="12"/>
      <c r="BU81" s="12"/>
      <c r="BV81" s="12"/>
      <c r="BW81" s="13">
        <f>IF(OR($G$4="MEDIA",$G$4="BASICA - TERCER CICLO"),ROUND(((BR81*$BR$11)+(BS81*$BS$11)+(BT81*$BT$11)+(BU81*$BU$11)+(BV81*$BV$11)*100)/35%,2),ROUND(((BR81*$BR$11)+(BS81*$BS$11)+(BT81*$BT$11)+(BU81*$BU$11)+(BV81*$BP$11)*100)/35%,2))</f>
        <v>0</v>
      </c>
      <c r="BX81" s="12"/>
      <c r="BY81" s="12"/>
      <c r="BZ81" s="12"/>
      <c r="CA81" s="13">
        <f>IF(OR($G$4="MEDIA",$G$4="BASICA - TERCER CICLO"),ROUND(((BX81*$BX$11)+(BY81*$BY$11)+(BZ81*$BZ$11)*100)/30%,2),ROUND(((BX81*$BX$11)+(BY81*$BY$11)+(BZ81*$BZ$11)*100)/30%,2))</f>
        <v>0</v>
      </c>
      <c r="CB81" s="12"/>
      <c r="CC81" s="14">
        <f>IF(OR($G$4="MEDIA",$G$4="BASICA - TERCER CICLO"),ROUND((CB81*$BI$11),2),ROUND((CB81*$BI$11),0))</f>
        <v>0</v>
      </c>
      <c r="CD81" s="28">
        <f>IF(OR($G$4="MEDIA",$G$4="BASICA - TERCER CICLO"),ROUND((BQ81+BW81+CA81+CC81),1),IF($G$4="BASICA",ROUND((BQ81+BW81+CA81+CC81),0),ROUND((BQ81+BW81+CA81+CC81),1)))</f>
        <v>0</v>
      </c>
      <c r="CE81" s="28">
        <f>IF($G$4 = "MEDIA",ROUND(((Y81+AR81+BK81+CD81)/4),0),ROUND(((Y81+AR81+BK81)/3),0))</f>
        <v>0</v>
      </c>
      <c r="CF81" s="21"/>
      <c r="CG81" s="28">
        <f>IF(AND(CE81&lt;5,$G$4="BASICA"),ROUND((CE81+CF81)/2,0),IF(AND(CE81&lt;6,$G$4="MEDIA"),ROUND((CE81+CF81)/2,0),CE81))</f>
        <v>0</v>
      </c>
      <c r="CH81" s="16" t="str">
        <f>IF($G$4="MEDIA",IF(CG81&gt;=6,"Aprobado","Reprobado"),IF(CG81&gt;=5,"Aprobado","Reprobado"))</f>
        <v>Reprobado</v>
      </c>
    </row>
    <row r="82" spans="1:86" customHeight="1" ht="20.25">
      <c r="A82" s="43">
        <v>70</v>
      </c>
      <c r="B82" s="44">
        <v>10540893</v>
      </c>
      <c r="C82" s="44">
        <v>5125</v>
      </c>
      <c r="D82" s="44">
        <v>27017</v>
      </c>
      <c r="E82" s="44" t="s">
        <v>107</v>
      </c>
      <c r="F82" s="45" t="s">
        <v>39</v>
      </c>
      <c r="G82" s="32"/>
      <c r="H82" s="12"/>
      <c r="I82" s="12"/>
      <c r="J82" s="12"/>
      <c r="K82" s="12"/>
      <c r="L82" s="46">
        <f>IF(OR($G$4="MEDIA",$G$4="BASICA - TERCER CICLO"),ROUND(((G82*$G$11)+(H82*$H$11)+(I82*$I$11)+(J82*$J$11)+(K82*$K$11)*100)/35%,2),ROUND((G82*$G$11)+(H82*$H$11)+(I82*$I$11)+(J82*$J$11)+(K82*$K$11),2))</f>
        <v>0</v>
      </c>
      <c r="M82" s="12"/>
      <c r="N82" s="12"/>
      <c r="O82" s="12"/>
      <c r="P82" s="12"/>
      <c r="Q82" s="12"/>
      <c r="R82" s="46">
        <f>IF(OR($G$4="MEDIA",$G$4="BASICA - TERCER CICLO"),ROUND(((M82*$M$11)+(N82*$N$11)+(O82*$O$11)+(P82*$P$11)+(Q82*$Q$11)*100)/35%,2),ROUND((M82*$M$11)+(N82*$N$11)+(O82*$O$11)+(P82*$P$11)+(Q82*$Q$11),2))</f>
        <v>0</v>
      </c>
      <c r="S82" s="12"/>
      <c r="T82" s="12"/>
      <c r="U82" s="12"/>
      <c r="V82" s="13">
        <f>IF(OR($G$4="MEDIA",$G$4="BASICA - TERCER CICLO"),ROUND(((S82*$S$11)+(T82*$T$11)+(U82*$U$11)*100)/30%,2),ROUND(((S82*$S$11)+(T82*$T$11)+(U82*$U$11)*100)/30%,2))</f>
        <v>0</v>
      </c>
      <c r="W82" s="12"/>
      <c r="X82" s="14">
        <f>IF(OR($G$4="MEDIA",$G$4="BASICA - TERCER CICLO"),ROUND((W82*$W$11),2),ROUND((W82*$W$11),0))</f>
        <v>0</v>
      </c>
      <c r="Y82" s="47">
        <f>ROUND((L82+R82+V82)/3,1)</f>
        <v>0</v>
      </c>
      <c r="Z82" s="12"/>
      <c r="AA82" s="12"/>
      <c r="AB82" s="12"/>
      <c r="AC82" s="12"/>
      <c r="AD82" s="12"/>
      <c r="AE82" s="46">
        <f>IF(OR($G$4="MEDIA",$G$4="BASICA - TERCER CICLO"),ROUND(((Z82*$Z$11)+(AA82*$AA$11)+(AB82*$AB$11)+(AC82*$AC$11)+(AD82*$AD$11)*100)/35%,2),ROUND((Z82*$Z$11)+(AA82*$AA$11)+(AB82*$AB$11)+(AC82*$AC$11)+(AD82*$AD$11),2))</f>
        <v>0</v>
      </c>
      <c r="AF82" s="12"/>
      <c r="AG82" s="12"/>
      <c r="AH82" s="12"/>
      <c r="AI82" s="12"/>
      <c r="AJ82" s="12"/>
      <c r="AK82" s="46">
        <f>IF(OR($G$4="MEDIA",$G$4="BASICA - TERCER CICLO"),ROUND(((AF82*$AF$11)+(AG82*$AG$11)+(AH82*$AH$11)+(AI82*$AI$11)+(AJ82*$AJ$11)*100)/35%,2),ROUND((AF82*$AF$11)+(AG82*$AG$11)+(AH82*$AH$11)+(AI82*$AI$11)+(AJ82*$AJ$11),2))</f>
        <v>0</v>
      </c>
      <c r="AL82" s="12"/>
      <c r="AM82" s="12"/>
      <c r="AN82" s="12"/>
      <c r="AO82" s="46">
        <f>IF(OR($G$4="MEDIA",$G$4="BASICA - TERCER CICLO"),ROUND(((AL82*$AL$11)+(AM82*$AM$11)+(AN82*$AN$11)*100)/30%,2),ROUND(((AL82*$AL$11)+(AM82*$AM$11)+(AN82*$AN$11)*100)/30%,2))</f>
        <v>0</v>
      </c>
      <c r="AP82" s="12"/>
      <c r="AQ82" s="14">
        <f>IF(OR($G$4="MEDIA",$G$4="BASICA - TERCER CICLO"),ROUND((AP82*$AP$11),2),ROUND((AP82*$AP$11),0))</f>
        <v>0</v>
      </c>
      <c r="AR82" s="47">
        <f>ROUND((AE82+AK82+AO82)/3,1)</f>
        <v>0</v>
      </c>
      <c r="AS82" s="12"/>
      <c r="AT82" s="12"/>
      <c r="AU82" s="12"/>
      <c r="AV82" s="12"/>
      <c r="AW82" s="12"/>
      <c r="AX82" s="46">
        <f>IF(OR($G$4="MEDIA",$G$4="BASICA - TERCER CICLO"),ROUND(((AS82*$AS$11)+(AT82*$AT$11)+(AU82*$AU$11)+(AV82*$AV$11)+(AW82*$AW$11)*100)/35%,2),ROUND((AS82*$AS$11)+(AT82*$AT$11)+(AU82*$AU$11)+(AV82*$AV$11)+(AW82*$AW$11),2))</f>
        <v>0</v>
      </c>
      <c r="AY82" s="12"/>
      <c r="AZ82" s="12"/>
      <c r="BA82" s="12"/>
      <c r="BB82" s="12"/>
      <c r="BC82" s="12"/>
      <c r="BD82" s="46">
        <f>IF(OR($G$4="MEDIA",$G$4="BASICA - TERCER CICLO"),ROUND(((AY82*$AY$11)+(AZ82*$AZ$11)+(BA82*$BA$11)+(BB82*$BB$11)+(BC82*$BC$11)*100)/35%,2),ROUND((AY82*$AY$11)+(AZ82*$AZ$11)+(BA82*$BA$11)+(BB82*$BB$11)+(BC82*$BC$11),2))</f>
        <v>0</v>
      </c>
      <c r="BE82" s="12"/>
      <c r="BF82" s="12"/>
      <c r="BG82" s="12"/>
      <c r="BH82" s="46">
        <f>IF(OR($G$4="MEDIA",$G$4="BASICA - TERCER CICLO"),ROUND(((BE82*$BE$11)+(BF82*$BF$11)+(BG82*$BG$11)*100)/30%,2),ROUND(((BE82*$BE$11)+(BF82*$BF$11)+(BG82*$BG$11)*100)/30%,2))</f>
        <v>0</v>
      </c>
      <c r="BI82" s="12"/>
      <c r="BJ82" s="14">
        <f>IF(OR($G$4="MEDIA",$G$4="BASICA - TERCER CICLO"),ROUND((BI82*$BI$11),2),ROUND((BI82*$BI$11),0))</f>
        <v>0</v>
      </c>
      <c r="BK82" s="47">
        <f>ROUND((AX82+BD82+BH82)/3,1)</f>
        <v>0</v>
      </c>
      <c r="BL82" s="12"/>
      <c r="BM82" s="12"/>
      <c r="BN82" s="12"/>
      <c r="BO82" s="12"/>
      <c r="BP82" s="12"/>
      <c r="BQ82" s="13">
        <f>IF(OR($G$4="MEDIA",$G$4="BASICA - TERCER CICLO"),ROUND(((BL82*$BL$11)+(BM82*$BM$11)+(BN82*$BN$11)+(BO82*$BO$11)+(BP82*$BP$11)*100)/35%,2),ROUND(((BL82*$BL$11)+(BM82*$BM$11)+(BN82*$BN$11)+(BO82*$BO$11)+(BP82*$BP$11)*100)/35%,2))</f>
        <v>0</v>
      </c>
      <c r="BR82" s="12"/>
      <c r="BS82" s="12"/>
      <c r="BT82" s="12"/>
      <c r="BU82" s="12"/>
      <c r="BV82" s="12"/>
      <c r="BW82" s="13">
        <f>IF(OR($G$4="MEDIA",$G$4="BASICA - TERCER CICLO"),ROUND(((BR82*$BR$11)+(BS82*$BS$11)+(BT82*$BT$11)+(BU82*$BU$11)+(BV82*$BV$11)*100)/35%,2),ROUND(((BR82*$BR$11)+(BS82*$BS$11)+(BT82*$BT$11)+(BU82*$BU$11)+(BV82*$BP$11)*100)/35%,2))</f>
        <v>0</v>
      </c>
      <c r="BX82" s="12"/>
      <c r="BY82" s="12"/>
      <c r="BZ82" s="12"/>
      <c r="CA82" s="13">
        <f>IF(OR($G$4="MEDIA",$G$4="BASICA - TERCER CICLO"),ROUND(((BX82*$BX$11)+(BY82*$BY$11)+(BZ82*$BZ$11)*100)/30%,2),ROUND(((BX82*$BX$11)+(BY82*$BY$11)+(BZ82*$BZ$11)*100)/30%,2))</f>
        <v>0</v>
      </c>
      <c r="CB82" s="12"/>
      <c r="CC82" s="14">
        <f>IF(OR($G$4="MEDIA",$G$4="BASICA - TERCER CICLO"),ROUND((CB82*$BI$11),2),ROUND((CB82*$BI$11),0))</f>
        <v>0</v>
      </c>
      <c r="CD82" s="28">
        <f>IF(OR($G$4="MEDIA",$G$4="BASICA - TERCER CICLO"),ROUND((BQ82+BW82+CA82+CC82),1),IF($G$4="BASICA",ROUND((BQ82+BW82+CA82+CC82),0),ROUND((BQ82+BW82+CA82+CC82),1)))</f>
        <v>0</v>
      </c>
      <c r="CE82" s="28">
        <f>IF($G$4 = "MEDIA",ROUND(((Y82+AR82+BK82+CD82)/4),0),ROUND(((Y82+AR82+BK82)/3),0))</f>
        <v>0</v>
      </c>
      <c r="CF82" s="21"/>
      <c r="CG82" s="28">
        <f>IF(AND(CE82&lt;5,$G$4="BASICA"),ROUND((CE82+CF82)/2,0),IF(AND(CE82&lt;6,$G$4="MEDIA"),ROUND((CE82+CF82)/2,0),CE82))</f>
        <v>0</v>
      </c>
      <c r="CH82" s="16" t="str">
        <f>IF($G$4="MEDIA",IF(CG82&gt;=6,"Aprobado","Reprobado"),IF(CG82&gt;=5,"Aprobado","Reprobado"))</f>
        <v>Reprobado</v>
      </c>
    </row>
    <row r="83" spans="1:86" customHeight="1" ht="13.5">
      <c r="A83">
        <v>71</v>
      </c>
      <c r="B83">
        <v>10483548</v>
      </c>
      <c r="C83">
        <v>4879</v>
      </c>
      <c r="D83">
        <v>27018</v>
      </c>
      <c r="E83" t="s">
        <v>114</v>
      </c>
      <c r="F83" t="s">
        <v>37</v>
      </c>
    </row>
    <row r="84" spans="1:86">
      <c r="A84">
        <v>72</v>
      </c>
      <c r="B84">
        <v>10125847</v>
      </c>
      <c r="C84">
        <v>5780</v>
      </c>
      <c r="D84">
        <v>26993</v>
      </c>
      <c r="E84" t="s">
        <v>115</v>
      </c>
      <c r="F84" t="s">
        <v>39</v>
      </c>
    </row>
    <row r="85" spans="1:86">
      <c r="A85">
        <v>73</v>
      </c>
      <c r="B85">
        <v>10132733</v>
      </c>
      <c r="C85">
        <v>4934</v>
      </c>
      <c r="D85">
        <v>27019</v>
      </c>
      <c r="E85" t="s">
        <v>116</v>
      </c>
      <c r="F85" t="s">
        <v>37</v>
      </c>
    </row>
  </sheetData>
  <sheetProtection password="CE28" sheet="tru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AS6:AX6"/>
    <mergeCell ref="AY10:BD10"/>
    <mergeCell ref="Z6:AE6"/>
    <mergeCell ref="A1:E1"/>
    <mergeCell ref="CE7:CH11"/>
    <mergeCell ref="BL7:CD7"/>
    <mergeCell ref="BL8:CD8"/>
    <mergeCell ref="BL9:CD9"/>
    <mergeCell ref="BL10:BQ10"/>
    <mergeCell ref="BR10:BW10"/>
    <mergeCell ref="BX10:CA10"/>
    <mergeCell ref="CB10:CC10"/>
    <mergeCell ref="AS7:BK7"/>
    <mergeCell ref="AS8:BK8"/>
    <mergeCell ref="AS9:BK9"/>
    <mergeCell ref="AS10:AX10"/>
    <mergeCell ref="BI10:BJ10"/>
    <mergeCell ref="AP10:AQ10"/>
    <mergeCell ref="AF10:AK10"/>
    <mergeCell ref="BL6:BQ6"/>
    <mergeCell ref="G4:M4"/>
    <mergeCell ref="G10:L10"/>
    <mergeCell ref="M10:R10"/>
    <mergeCell ref="S10:V10"/>
    <mergeCell ref="W10:X10"/>
    <mergeCell ref="Z10:AE10"/>
    <mergeCell ref="G7:Y7"/>
    <mergeCell ref="G9:Y9"/>
    <mergeCell ref="G8:Y8"/>
    <mergeCell ref="Z7:AR7"/>
    <mergeCell ref="Z8:AR8"/>
    <mergeCell ref="Z9:AR9"/>
    <mergeCell ref="BE10:BH10"/>
    <mergeCell ref="AL10:AO10"/>
    <mergeCell ref="G6:L6"/>
  </mergeCells>
  <conditionalFormatting sqref="Y11">
    <cfRule type="cellIs" dxfId="0" priority="1" operator="greaterThan">
      <formula>1.1</formula>
    </cfRule>
  </conditionalFormatting>
  <conditionalFormatting sqref="Y13:Y82">
    <cfRule type="cellIs" dxfId="1" priority="2" operator="between">
      <formula>7</formula>
      <formula>10</formula>
    </cfRule>
    <cfRule type="cellIs" dxfId="2" priority="3" operator="between">
      <formula>5</formula>
      <formula>6.99</formula>
    </cfRule>
    <cfRule type="cellIs" dxfId="3" priority="4" operator="between">
      <formula>0</formula>
      <formula>4.99</formula>
    </cfRule>
  </conditionalFormatting>
  <conditionalFormatting sqref="AR11">
    <cfRule type="cellIs" dxfId="0" priority="5" operator="greaterThan">
      <formula>1.1</formula>
    </cfRule>
  </conditionalFormatting>
  <conditionalFormatting sqref="AR13:AR82">
    <cfRule type="cellIs" dxfId="1" priority="6" operator="between">
      <formula>7</formula>
      <formula>10</formula>
    </cfRule>
    <cfRule type="cellIs" dxfId="2" priority="7" operator="between">
      <formula>5</formula>
      <formula>6.99</formula>
    </cfRule>
    <cfRule type="cellIs" dxfId="3" priority="8" operator="between">
      <formula>0</formula>
      <formula>4.99</formula>
    </cfRule>
  </conditionalFormatting>
  <conditionalFormatting sqref="BK11">
    <cfRule type="cellIs" dxfId="0" priority="9" operator="greaterThan">
      <formula>1.1</formula>
    </cfRule>
  </conditionalFormatting>
  <conditionalFormatting sqref="BK13:BK82">
    <cfRule type="cellIs" dxfId="1" priority="10" operator="between">
      <formula>7</formula>
      <formula>10</formula>
    </cfRule>
    <cfRule type="cellIs" dxfId="2" priority="11" operator="between">
      <formula>5</formula>
      <formula>6.99</formula>
    </cfRule>
    <cfRule type="cellIs" dxfId="3" priority="12" operator="between">
      <formula>0</formula>
      <formula>4.99</formula>
    </cfRule>
  </conditionalFormatting>
  <conditionalFormatting sqref="CD11">
    <cfRule type="cellIs" dxfId="0" priority="13" operator="greaterThan">
      <formula>1.1</formula>
    </cfRule>
  </conditionalFormatting>
  <conditionalFormatting sqref="CD13:CE82">
    <cfRule type="cellIs" dxfId="1" priority="14" operator="between">
      <formula>7</formula>
      <formula>10</formula>
    </cfRule>
    <cfRule type="cellIs" dxfId="2" priority="15" operator="between">
      <formula>5</formula>
      <formula>6.99</formula>
    </cfRule>
    <cfRule type="cellIs" dxfId="3" priority="16" operator="between">
      <formula>0</formula>
      <formula>4.99</formula>
    </cfRule>
  </conditionalFormatting>
  <conditionalFormatting sqref="CF13:CF82">
    <cfRule type="cellIs" dxfId="4" priority="17" operator="between" stopIfTrue="1">
      <formula>0</formula>
      <formula>10</formula>
    </cfRule>
  </conditionalFormatting>
  <conditionalFormatting sqref="CG13:CG82">
    <cfRule type="cellIs" dxfId="1" priority="18" operator="between">
      <formula>7</formula>
      <formula>10</formula>
    </cfRule>
    <cfRule type="cellIs" dxfId="2" priority="19" operator="between">
      <formula>5</formula>
      <formula>6.99</formula>
    </cfRule>
    <cfRule type="cellIs" dxfId="3" priority="20" operator="between">
      <formula>0</formula>
      <formula>4.99</formula>
    </cfRule>
  </conditionalFormatting>
  <conditionalFormatting sqref="CH13:CH82">
    <cfRule type="cellIs" dxfId="5" priority="21" operator="equal" stopIfTrue="1">
      <formula>"Reprobado"</formula>
    </cfRule>
  </conditionalFormatting>
  <dataValidations count="61">
    <dataValidation type="decimal" allowBlank="1" showDropDown="0" showInputMessage="1" showErrorMessage="1" errorTitle="Valor" error="Solo numeros entre 0.01 a 10." sqref="Z13:AD82">
      <formula1>0</formula1>
      <formula2>10</formula2>
    </dataValidation>
    <dataValidation type="decimal" allowBlank="1" showDropDown="0" showInputMessage="1" showErrorMessage="1" errorTitle="Valor" error="Solo numeros entre 0.01 a 10." sqref="Z13:AD82">
      <formula1>0</formula1>
      <formula2>10</formula2>
    </dataValidation>
    <dataValidation type="decimal" allowBlank="1" showDropDown="0" showInputMessage="1" showErrorMessage="1" errorTitle="Valor" error="Solo numeros entre 0.01 a 10." sqref="Z13:AD82">
      <formula1>0</formula1>
      <formula2>10</formula2>
    </dataValidation>
    <dataValidation type="decimal" allowBlank="1" showDropDown="0" showInputMessage="1" showErrorMessage="1" errorTitle="Valor" error="Solo numeros entre 0.01 a 10." sqref="Z13:AD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L13:AN82">
      <formula1>0</formula1>
      <formula2>10</formula2>
    </dataValidation>
    <dataValidation type="decimal" allowBlank="1" showDropDown="0" showInputMessage="1" showErrorMessage="1" errorTitle="Valor" error="Solo numeros entre 0.01 a 10." sqref="AL13:AN82">
      <formula1>0</formula1>
      <formula2>10</formula2>
    </dataValidation>
    <dataValidation type="decimal" allowBlank="1" showDropDown="0" showInputMessage="1" showErrorMessage="1" errorTitle="Valor" error="Solo numeros entre 0.01 a 10." sqref="AL13:AN82">
      <formula1>0</formula1>
      <formula2>10</formula2>
    </dataValidation>
    <dataValidation type="decimal" allowBlank="1" showDropDown="0" showInputMessage="1" showErrorMessage="1" errorTitle="Valor" error="Solo numeros entre 0.01 a 10." sqref="AP13:AP82">
      <formula1>0</formula1>
      <formula2>10</formula2>
    </dataValidation>
    <dataValidation operator="equal" allowBlank="1" showDropDown="0" showInputMessage="0" showErrorMessage="1" errorTitle="Error" error="El Promedio no tiene que ser MAYOR A 110%" sqref="AR11"/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BE13:BG82">
      <formula1>0</formula1>
      <formula2>10</formula2>
    </dataValidation>
    <dataValidation type="decimal" allowBlank="1" showDropDown="0" showInputMessage="1" showErrorMessage="1" errorTitle="Valor" error="Solo numeros entre 0.01 a 10." sqref="BE13:BG82">
      <formula1>0</formula1>
      <formula2>10</formula2>
    </dataValidation>
    <dataValidation type="decimal" allowBlank="1" showDropDown="0" showInputMessage="1" showErrorMessage="1" errorTitle="Valor" error="Solo numeros entre 0.01 a 10." sqref="BE13:BG82">
      <formula1>0</formula1>
      <formula2>10</formula2>
    </dataValidation>
    <dataValidation type="decimal" allowBlank="1" showDropDown="0" showInputMessage="1" showErrorMessage="1" errorTitle="Valor" error="Solo numeros entre 0.01 a 10." sqref="BI13:BI82">
      <formula1>0</formula1>
      <formula2>10</formula2>
    </dataValidation>
    <dataValidation operator="equal" allowBlank="1" showDropDown="0" showInputMessage="0" showErrorMessage="1" errorTitle="Error" error="El Promedio no tiene que ser MAYOR A 110%" sqref="BK11"/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" error="Solo numeros entre 0.01 a 10." sqref="BX13:BZ82">
      <formula1>0</formula1>
      <formula2>10</formula2>
    </dataValidation>
    <dataValidation type="decimal" allowBlank="1" showDropDown="0" showInputMessage="1" showErrorMessage="1" errorTitle="Valor" error="Solo numeros entre 0.01 a 10." sqref="BX13:BZ82">
      <formula1>0</formula1>
      <formula2>10</formula2>
    </dataValidation>
    <dataValidation type="decimal" allowBlank="1" showDropDown="0" showInputMessage="1" showErrorMessage="1" errorTitle="Valor" error="Solo numeros entre 0.01 a 10." sqref="BX13:BZ82">
      <formula1>0</formula1>
      <formula2>10</formula2>
    </dataValidation>
    <dataValidation type="decimal" allowBlank="1" showDropDown="0" showInputMessage="1" showErrorMessage="1" errorTitle="Valor" error="Solo numeros entre 0.01 a 10." sqref="CB13:CB82">
      <formula1>0</formula1>
      <formula2>10</formula2>
    </dataValidation>
    <dataValidation operator="equal" allowBlank="1" showDropDown="0" showInputMessage="0" showErrorMessage="1" errorTitle="Error" error="El Promedio no tiene que ser MAYOR A 110%" sqref="CD11"/>
    <dataValidation type="decimal" allowBlank="1" showDropDown="0" showInputMessage="1" showErrorMessage="1" errorTitle="Valores" error="Solo numeros. entre 0.01 a 10." sqref="CF13:CF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S13:U82">
      <formula1>0</formula1>
      <formula2>10</formula2>
    </dataValidation>
    <dataValidation type="decimal" allowBlank="1" showDropDown="0" showInputMessage="1" showErrorMessage="1" errorTitle="Valor" error="Solo numeros entre 0.01 a 10." sqref="S13:U82">
      <formula1>0</formula1>
      <formula2>10</formula2>
    </dataValidation>
    <dataValidation type="decimal" allowBlank="1" showDropDown="0" showInputMessage="1" showErrorMessage="1" errorTitle="Valor" error="Solo numeros entre 0.01 a 10." sqref="S13:U82">
      <formula1>0</formula1>
      <formula2>10</formula2>
    </dataValidation>
    <dataValidation type="decimal" allowBlank="1" showDropDown="0" showInputMessage="1" showErrorMessage="1" errorTitle="Valor" error="Solo numeros entre 0.01 a 10." sqref="W13:W82">
      <formula1>0</formula1>
      <formula2>10</formula2>
    </dataValidation>
    <dataValidation operator="equal" allowBlank="1" showDropDown="0" showInputMessage="0" showErrorMessage="1" errorTitle="Error" error="El Promedio no tiene que ser MAYOR A 110%" sqref="Y11"/>
    <dataValidation type="decimal" allowBlank="1" showDropDown="0" showInputMessage="1" showErrorMessage="1" errorTitle="Valor" error="Solo numeros entre 0.01 a 10." sqref="Z13:AD82">
      <formula1>0</formula1>
      <formula2>10</formula2>
    </dataValidation>
  </dataValidations>
  <printOptions gridLines="false" gridLinesSet="true"/>
  <pageMargins left="0.75" right="0.75" top="1" bottom="1" header="0" footer="0"/>
  <pageSetup paperSize="1" orientation="portrait" scale="100" fitToHeight="1" fitToWidth="1" pageOrder="downThenOver" r:id="rId1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H85"/>
  <sheetViews>
    <sheetView tabSelected="0" workbookViewId="0" zoomScale="115" zoomScaleNormal="115" showGridLines="false" showRowColHeaders="1">
      <pane xSplit="6" ySplit="12" topLeftCell="BK13" activePane="bottomRight" state="frozen"/>
      <selection pane="topRight"/>
      <selection pane="bottomLeft"/>
      <selection pane="bottomRight" activeCell="G1" sqref="G1"/>
    </sheetView>
  </sheetViews>
  <sheetFormatPr defaultRowHeight="14.4" outlineLevelRow="0" outlineLevelCol="0"/>
  <cols>
    <col min="1" max="1" width="4.28515625" customWidth="true" style="0"/>
    <col min="2" max="2" width="9.85546875" customWidth="true" style="0"/>
    <col min="3" max="3" width="9.85546875" customWidth="true" style="0"/>
    <col min="4" max="4" width="9.85546875" customWidth="true" style="0"/>
    <col min="5" max="5" width="40.7109375" customWidth="true" style="0"/>
    <col min="6" max="6" width="4.85546875" customWidth="true" style="0"/>
    <col min="7" max="7" width="4.85546875" customWidth="true" style="0"/>
    <col min="8" max="8" width="4.85546875" customWidth="true" style="0"/>
    <col min="9" max="9" width="4.85546875" customWidth="true" style="0"/>
    <col min="10" max="10" width="4.85546875" customWidth="true" style="0"/>
    <col min="11" max="11" width="4.85546875" customWidth="true" style="0"/>
    <col min="12" max="12" width="4.85546875" customWidth="true" style="0"/>
    <col min="13" max="13" width="4.85546875" customWidth="true" style="0"/>
    <col min="14" max="14" width="4.85546875" customWidth="true" style="0"/>
    <col min="15" max="15" width="4.85546875" customWidth="true" style="0"/>
    <col min="16" max="16" width="4.85546875" customWidth="true" style="0"/>
    <col min="17" max="17" width="4.85546875" customWidth="true" style="0"/>
    <col min="18" max="18" width="4.85546875" customWidth="true" style="0"/>
    <col min="19" max="19" width="4.85546875" customWidth="true" style="0"/>
    <col min="20" max="20" width="4.85546875" customWidth="true" style="0"/>
    <col min="21" max="21" width="4.85546875" customWidth="true" style="0"/>
    <col min="22" max="22" width="4.85546875" customWidth="true" style="0"/>
    <col min="23" max="23" width="4.85546875" customWidth="true" style="0"/>
    <col min="24" max="24" width="4.85546875" customWidth="true" style="0"/>
    <col min="25" max="25" width="7.28515625" customWidth="true" style="0"/>
    <col min="26" max="26" width="4.85546875" customWidth="true" style="0"/>
    <col min="27" max="27" width="4.85546875" customWidth="true" style="0"/>
    <col min="28" max="28" width="4.85546875" customWidth="true" style="0"/>
    <col min="29" max="29" width="4.85546875" customWidth="true" style="0"/>
    <col min="30" max="30" width="4.85546875" customWidth="true" style="0"/>
    <col min="31" max="31" width="4.85546875" customWidth="true" style="0"/>
    <col min="32" max="32" width="4.85546875" customWidth="true" style="0"/>
    <col min="33" max="33" width="4.85546875" customWidth="true" style="0"/>
    <col min="34" max="34" width="4.85546875" customWidth="true" style="0"/>
    <col min="35" max="35" width="4.85546875" customWidth="true" style="0"/>
    <col min="36" max="36" width="4.85546875" customWidth="true" style="0"/>
    <col min="37" max="37" width="4.85546875" customWidth="true" style="0"/>
    <col min="38" max="38" width="4.85546875" customWidth="true" style="0"/>
    <col min="39" max="39" width="4.85546875" customWidth="true" style="0"/>
    <col min="40" max="40" width="4.85546875" customWidth="true" style="0"/>
    <col min="41" max="41" width="4.85546875" customWidth="true" style="0"/>
    <col min="42" max="42" width="4.85546875" customWidth="true" style="0"/>
    <col min="43" max="43" width="4.85546875" customWidth="true" style="0"/>
    <col min="44" max="44" width="7.28515625" customWidth="true" style="0"/>
    <col min="45" max="45" width="4.85546875" customWidth="true" style="0"/>
    <col min="46" max="46" width="4.85546875" customWidth="true" style="0"/>
    <col min="47" max="47" width="4.85546875" customWidth="true" style="0"/>
    <col min="48" max="48" width="4.85546875" customWidth="true" style="0"/>
    <col min="49" max="49" width="4.85546875" customWidth="true" style="0"/>
    <col min="50" max="50" width="4.85546875" customWidth="true" style="0"/>
    <col min="51" max="51" width="4.85546875" customWidth="true" style="0"/>
    <col min="52" max="52" width="4.85546875" customWidth="true" style="0"/>
    <col min="53" max="53" width="4.85546875" customWidth="true" style="0"/>
    <col min="54" max="54" width="4.85546875" customWidth="true" style="0"/>
    <col min="55" max="55" width="4.85546875" customWidth="true" style="0"/>
    <col min="56" max="56" width="4.85546875" customWidth="true" style="0"/>
    <col min="57" max="57" width="4.85546875" customWidth="true" style="0"/>
    <col min="58" max="58" width="4.85546875" customWidth="true" style="0"/>
    <col min="59" max="59" width="4.85546875" customWidth="true" style="0"/>
    <col min="60" max="60" width="4.85546875" customWidth="true" style="0"/>
    <col min="61" max="61" width="4.85546875" customWidth="true" style="0"/>
    <col min="62" max="62" width="4.85546875" customWidth="true" style="0"/>
    <col min="63" max="63" width="7.28515625" customWidth="true" style="0"/>
    <col min="64" max="64" width="4.85546875" customWidth="true" style="0"/>
    <col min="65" max="65" width="4.85546875" customWidth="true" style="0"/>
    <col min="66" max="66" width="4.85546875" customWidth="true" style="0"/>
    <col min="67" max="67" width="4.85546875" customWidth="true" style="0"/>
    <col min="68" max="68" width="4.85546875" customWidth="true" style="0"/>
    <col min="69" max="69" width="4.85546875" customWidth="true" style="0"/>
    <col min="70" max="70" width="4.85546875" customWidth="true" style="0"/>
    <col min="71" max="71" width="4.85546875" customWidth="true" style="0"/>
    <col min="72" max="72" width="4.85546875" customWidth="true" style="0"/>
    <col min="73" max="73" width="4.85546875" customWidth="true" style="0"/>
    <col min="74" max="74" width="4.85546875" customWidth="true" style="0"/>
    <col min="75" max="75" width="4.85546875" customWidth="true" style="0"/>
    <col min="76" max="76" width="4.85546875" customWidth="true" style="0"/>
    <col min="77" max="77" width="4.85546875" customWidth="true" style="0"/>
    <col min="78" max="78" width="4.85546875" customWidth="true" style="0"/>
    <col min="79" max="79" width="4.85546875" customWidth="true" style="0"/>
    <col min="80" max="80" width="4.85546875" customWidth="true" style="0"/>
    <col min="81" max="81" width="4.85546875" customWidth="true" style="0"/>
    <col min="82" max="82" width="7.28515625" customWidth="true" style="0"/>
    <col min="86" max="86" width="15.85546875" customWidth="true" style="0"/>
  </cols>
  <sheetData>
    <row r="1" spans="1:86" customHeight="1" ht="16.5">
      <c r="A1" s="64" t="s">
        <v>0</v>
      </c>
      <c r="B1" s="64"/>
      <c r="C1" s="64"/>
      <c r="D1" s="64"/>
      <c r="E1" s="64"/>
    </row>
    <row r="2" spans="1:86" customHeight="1" ht="16.5">
      <c r="A2" s="1" t="s">
        <v>1</v>
      </c>
      <c r="E2" s="5" t="s">
        <v>2</v>
      </c>
      <c r="F2" t="s">
        <v>108</v>
      </c>
    </row>
    <row r="3" spans="1:86">
      <c r="B3" t="s">
        <v>3</v>
      </c>
      <c r="D3" t="s">
        <v>109</v>
      </c>
      <c r="E3" s="2" t="s">
        <v>4</v>
      </c>
    </row>
    <row r="4" spans="1:86" customHeight="1" ht="15.75">
      <c r="B4" t="s">
        <v>5</v>
      </c>
      <c r="D4" t="s">
        <v>110</v>
      </c>
      <c r="E4" s="2">
        <v>2026</v>
      </c>
      <c r="G4" s="50" t="s">
        <v>6</v>
      </c>
      <c r="H4" s="50"/>
      <c r="I4" s="50"/>
      <c r="J4" s="50"/>
      <c r="K4" s="50"/>
      <c r="L4" s="50"/>
      <c r="M4" s="50"/>
      <c r="S4" s="4"/>
      <c r="Z4" s="4"/>
      <c r="AF4" s="4"/>
      <c r="AL4" s="4"/>
      <c r="AS4" s="4"/>
      <c r="AY4" s="4"/>
      <c r="BE4" s="4"/>
      <c r="BL4" s="4"/>
      <c r="BR4" s="4"/>
      <c r="BX4" s="4"/>
    </row>
    <row r="5" spans="1:86">
      <c r="B5" t="s">
        <v>7</v>
      </c>
      <c r="D5" t="s">
        <v>111</v>
      </c>
      <c r="E5" s="2" t="s">
        <v>8</v>
      </c>
    </row>
    <row r="6" spans="1:86">
      <c r="B6" t="s">
        <v>9</v>
      </c>
      <c r="D6" t="s">
        <v>112</v>
      </c>
      <c r="E6" s="2" t="s">
        <v>10</v>
      </c>
      <c r="G6" s="48" t="str">
        <f>IF(Y11&gt;110%,"Error Mayor que 110%","")</f>
        <v/>
      </c>
      <c r="H6" s="49"/>
      <c r="I6" s="49"/>
      <c r="J6" s="49"/>
      <c r="K6" s="49"/>
      <c r="L6" s="49"/>
      <c r="Z6" s="48" t="str">
        <f>IF(AR11&gt;110%,"Error Mayor que 110%","")</f>
        <v/>
      </c>
      <c r="AA6" s="49"/>
      <c r="AB6" s="49"/>
      <c r="AC6" s="49"/>
      <c r="AD6" s="49"/>
      <c r="AE6" s="49"/>
      <c r="AS6" s="48" t="str">
        <f>IF(BK11&gt;110%,"Error Mayor que 110%","")</f>
        <v/>
      </c>
      <c r="AT6" s="49"/>
      <c r="AU6" s="49"/>
      <c r="AV6" s="49"/>
      <c r="AW6" s="49"/>
      <c r="AX6" s="49"/>
      <c r="BL6" s="48" t="str">
        <f>IF(CD11&gt;110%,"Error Mayor que 110%","")</f>
        <v/>
      </c>
      <c r="BM6" s="49"/>
      <c r="BN6" s="49"/>
      <c r="BO6" s="49"/>
      <c r="BP6" s="49"/>
      <c r="BQ6" s="49"/>
    </row>
    <row r="7" spans="1:86" customHeight="1" ht="23.25">
      <c r="B7" t="s">
        <v>11</v>
      </c>
      <c r="D7" t="s">
        <v>118</v>
      </c>
      <c r="E7" s="6" t="s">
        <v>117</v>
      </c>
      <c r="G7" s="54" t="s">
        <v>13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6"/>
      <c r="Z7" s="63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6"/>
      <c r="AS7" s="63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6"/>
      <c r="BL7" s="63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6"/>
      <c r="CE7" s="65" t="s">
        <v>14</v>
      </c>
      <c r="CF7" s="66"/>
      <c r="CG7" s="66"/>
      <c r="CH7" s="67"/>
    </row>
    <row r="8" spans="1:86" customHeight="1" ht="18">
      <c r="G8" s="60">
        <v>1</v>
      </c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2"/>
      <c r="Z8" s="60">
        <v>2</v>
      </c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2"/>
      <c r="AS8" s="60">
        <v>3</v>
      </c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2"/>
      <c r="BL8" s="60">
        <v>4</v>
      </c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2"/>
      <c r="CE8" s="68"/>
      <c r="CF8" s="69"/>
      <c r="CG8" s="69"/>
      <c r="CH8" s="70"/>
    </row>
    <row r="9" spans="1:86" customHeight="1" ht="15.75">
      <c r="G9" s="57" t="s">
        <v>15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9"/>
      <c r="Z9" s="57" t="s">
        <v>15</v>
      </c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9"/>
      <c r="AS9" s="57" t="s">
        <v>15</v>
      </c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9"/>
      <c r="BL9" s="74" t="s">
        <v>15</v>
      </c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6"/>
      <c r="CE9" s="68"/>
      <c r="CF9" s="69"/>
      <c r="CG9" s="69"/>
      <c r="CH9" s="70"/>
    </row>
    <row r="10" spans="1:86" customHeight="1" ht="13.5">
      <c r="G10" s="51" t="s">
        <v>16</v>
      </c>
      <c r="H10" s="52"/>
      <c r="I10" s="52"/>
      <c r="J10" s="52"/>
      <c r="K10" s="52"/>
      <c r="L10" s="53"/>
      <c r="M10" s="51" t="s">
        <v>17</v>
      </c>
      <c r="N10" s="52"/>
      <c r="O10" s="52"/>
      <c r="P10" s="52"/>
      <c r="Q10" s="52"/>
      <c r="R10" s="53"/>
      <c r="S10" s="51" t="s">
        <v>18</v>
      </c>
      <c r="T10" s="52"/>
      <c r="U10" s="52"/>
      <c r="V10" s="53"/>
      <c r="W10" s="51" t="s">
        <v>19</v>
      </c>
      <c r="X10" s="53"/>
      <c r="Y10" s="23" t="s">
        <v>20</v>
      </c>
      <c r="Z10" s="51" t="s">
        <v>16</v>
      </c>
      <c r="AA10" s="52"/>
      <c r="AB10" s="52"/>
      <c r="AC10" s="52"/>
      <c r="AD10" s="52"/>
      <c r="AE10" s="53"/>
      <c r="AF10" s="51" t="s">
        <v>17</v>
      </c>
      <c r="AG10" s="52"/>
      <c r="AH10" s="52"/>
      <c r="AI10" s="52"/>
      <c r="AJ10" s="52"/>
      <c r="AK10" s="53"/>
      <c r="AL10" s="51" t="s">
        <v>18</v>
      </c>
      <c r="AM10" s="52"/>
      <c r="AN10" s="52"/>
      <c r="AO10" s="53"/>
      <c r="AP10" s="51" t="s">
        <v>19</v>
      </c>
      <c r="AQ10" s="53"/>
      <c r="AR10" s="23" t="s">
        <v>20</v>
      </c>
      <c r="AS10" s="51" t="s">
        <v>16</v>
      </c>
      <c r="AT10" s="52"/>
      <c r="AU10" s="52"/>
      <c r="AV10" s="52"/>
      <c r="AW10" s="52"/>
      <c r="AX10" s="53"/>
      <c r="AY10" s="51" t="s">
        <v>17</v>
      </c>
      <c r="AZ10" s="52"/>
      <c r="BA10" s="52"/>
      <c r="BB10" s="52"/>
      <c r="BC10" s="52"/>
      <c r="BD10" s="53"/>
      <c r="BE10" s="51" t="s">
        <v>18</v>
      </c>
      <c r="BF10" s="52"/>
      <c r="BG10" s="52"/>
      <c r="BH10" s="53"/>
      <c r="BI10" s="51" t="s">
        <v>19</v>
      </c>
      <c r="BJ10" s="53"/>
      <c r="BK10" s="23" t="s">
        <v>20</v>
      </c>
      <c r="BL10" s="77" t="s">
        <v>16</v>
      </c>
      <c r="BM10" s="78"/>
      <c r="BN10" s="78"/>
      <c r="BO10" s="78"/>
      <c r="BP10" s="78"/>
      <c r="BQ10" s="79"/>
      <c r="BR10" s="77" t="s">
        <v>17</v>
      </c>
      <c r="BS10" s="78"/>
      <c r="BT10" s="78"/>
      <c r="BU10" s="78"/>
      <c r="BV10" s="78"/>
      <c r="BW10" s="79"/>
      <c r="BX10" s="77" t="s">
        <v>18</v>
      </c>
      <c r="BY10" s="78"/>
      <c r="BZ10" s="78"/>
      <c r="CA10" s="79"/>
      <c r="CB10" s="77" t="s">
        <v>19</v>
      </c>
      <c r="CC10" s="79"/>
      <c r="CD10" s="29" t="s">
        <v>20</v>
      </c>
      <c r="CE10" s="68"/>
      <c r="CF10" s="69"/>
      <c r="CG10" s="69"/>
      <c r="CH10" s="70"/>
    </row>
    <row r="11" spans="1:86" customHeight="1" ht="13.5">
      <c r="E11" s="33"/>
      <c r="F11" s="34" t="s">
        <v>21</v>
      </c>
      <c r="G11" s="10">
        <v>0.2</v>
      </c>
      <c r="H11" s="11">
        <v>0.15</v>
      </c>
      <c r="I11" s="11"/>
      <c r="J11" s="11"/>
      <c r="K11" s="11"/>
      <c r="L11" s="25">
        <f>SUM(G11:K11)</f>
        <v>0.35</v>
      </c>
      <c r="M11" s="10"/>
      <c r="N11" s="11"/>
      <c r="O11" s="11"/>
      <c r="P11" s="11"/>
      <c r="Q11" s="11"/>
      <c r="R11" s="25">
        <f>SUM(M11:Q11)</f>
        <v>0</v>
      </c>
      <c r="S11" s="10"/>
      <c r="T11" s="11"/>
      <c r="U11" s="11"/>
      <c r="V11" s="25">
        <f>SUM(S11:U11)</f>
        <v>0</v>
      </c>
      <c r="W11" s="11"/>
      <c r="X11" s="8">
        <f>SUM(W11)</f>
        <v>0</v>
      </c>
      <c r="Y11" s="25">
        <f>IF(X11+V11+R11+L11&gt;110%,"error",X11+V11+R11+L11)</f>
        <v>0.35</v>
      </c>
      <c r="Z11" s="10"/>
      <c r="AA11" s="11"/>
      <c r="AB11" s="11"/>
      <c r="AC11" s="11"/>
      <c r="AD11" s="11"/>
      <c r="AE11" s="25">
        <f>SUM(Z11:AD11)</f>
        <v>0</v>
      </c>
      <c r="AF11" s="10"/>
      <c r="AG11" s="11"/>
      <c r="AH11" s="11"/>
      <c r="AI11" s="11"/>
      <c r="AJ11" s="11"/>
      <c r="AK11" s="25">
        <f>SUM(AF11:AJ11)</f>
        <v>0</v>
      </c>
      <c r="AL11" s="10">
        <v>0.15</v>
      </c>
      <c r="AM11" s="11">
        <v>0.15</v>
      </c>
      <c r="AN11" s="11"/>
      <c r="AO11" s="25">
        <f>SUM(AL11:AN11)</f>
        <v>0.3</v>
      </c>
      <c r="AP11" s="11"/>
      <c r="AQ11" s="25">
        <f>SUM(AP11)</f>
        <v>0</v>
      </c>
      <c r="AR11" s="25">
        <f>IF(AQ11+AO11+AK11+AE11&gt;110%,"error",AQ11+AO11+AK11+AE11)</f>
        <v>0.3</v>
      </c>
      <c r="AS11" s="10"/>
      <c r="AT11" s="11"/>
      <c r="AU11" s="11"/>
      <c r="AV11" s="11"/>
      <c r="AW11" s="11"/>
      <c r="AX11" s="25">
        <f>SUM(AS11:AW11)</f>
        <v>0</v>
      </c>
      <c r="AY11" s="10"/>
      <c r="AZ11" s="11"/>
      <c r="BA11" s="11"/>
      <c r="BB11" s="11"/>
      <c r="BC11" s="11"/>
      <c r="BD11" s="25">
        <f>SUM(AY11:BC11)</f>
        <v>0</v>
      </c>
      <c r="BE11" s="10"/>
      <c r="BF11" s="11"/>
      <c r="BG11" s="11"/>
      <c r="BH11" s="25">
        <f>SUM(BE11:BG11)</f>
        <v>0</v>
      </c>
      <c r="BI11" s="11"/>
      <c r="BJ11" s="25">
        <f>SUM(BI11)</f>
        <v>0</v>
      </c>
      <c r="BK11" s="25">
        <f>IF(BJ11+BH11+BD11+AX11&gt;110%,"error",BJ11+BH11+BD11+AX11)</f>
        <v>0</v>
      </c>
      <c r="BL11" s="10"/>
      <c r="BM11" s="11"/>
      <c r="BN11" s="11"/>
      <c r="BO11" s="11"/>
      <c r="BP11" s="11"/>
      <c r="BQ11" s="8">
        <f>SUM(BL11:BP11)</f>
        <v>0</v>
      </c>
      <c r="BR11" s="10"/>
      <c r="BS11" s="11"/>
      <c r="BT11" s="11"/>
      <c r="BU11" s="11"/>
      <c r="BV11" s="11"/>
      <c r="BW11" s="8">
        <f>SUM(BR11:BV11)</f>
        <v>0</v>
      </c>
      <c r="BX11" s="10"/>
      <c r="BY11" s="11"/>
      <c r="BZ11" s="11"/>
      <c r="CA11" s="8">
        <f>SUM(BX11:BZ11)</f>
        <v>0</v>
      </c>
      <c r="CB11" s="11"/>
      <c r="CC11" s="8">
        <f>SUM(CB11)</f>
        <v>0</v>
      </c>
      <c r="CD11" s="25">
        <f>IF(CC11+CA11+BW11+BQ11&gt;110%,"error",CC11+CA11+BW11+BQ11)</f>
        <v>0</v>
      </c>
      <c r="CE11" s="71"/>
      <c r="CF11" s="72"/>
      <c r="CG11" s="72"/>
      <c r="CH11" s="73"/>
    </row>
    <row r="12" spans="1:86" customHeight="1" ht="93.75">
      <c r="A12" s="35" t="s">
        <v>22</v>
      </c>
      <c r="B12" s="36" t="s">
        <v>23</v>
      </c>
      <c r="C12" s="36" t="s">
        <v>24</v>
      </c>
      <c r="D12" s="36" t="s">
        <v>25</v>
      </c>
      <c r="E12" s="37" t="s">
        <v>26</v>
      </c>
      <c r="F12" s="38" t="s">
        <v>27</v>
      </c>
      <c r="G12" s="30"/>
      <c r="H12" s="22"/>
      <c r="I12" s="22"/>
      <c r="J12" s="22"/>
      <c r="K12" s="22"/>
      <c r="L12" s="26" t="s">
        <v>28</v>
      </c>
      <c r="M12" s="22"/>
      <c r="N12" s="22"/>
      <c r="O12" s="22"/>
      <c r="P12" s="22"/>
      <c r="Q12" s="22"/>
      <c r="R12" s="26" t="s">
        <v>28</v>
      </c>
      <c r="S12" s="22"/>
      <c r="T12" s="22"/>
      <c r="U12" s="22"/>
      <c r="V12" s="26" t="s">
        <v>29</v>
      </c>
      <c r="W12" s="22"/>
      <c r="X12" s="9" t="s">
        <v>30</v>
      </c>
      <c r="Y12" s="24" t="s">
        <v>31</v>
      </c>
      <c r="Z12" s="22"/>
      <c r="AA12" s="22"/>
      <c r="AB12" s="22"/>
      <c r="AC12" s="22"/>
      <c r="AD12" s="22"/>
      <c r="AE12" s="26" t="s">
        <v>28</v>
      </c>
      <c r="AF12" s="22"/>
      <c r="AG12" s="22"/>
      <c r="AH12" s="22"/>
      <c r="AI12" s="22"/>
      <c r="AJ12" s="22"/>
      <c r="AK12" s="26" t="s">
        <v>28</v>
      </c>
      <c r="AL12" s="22"/>
      <c r="AM12" s="22"/>
      <c r="AN12" s="22"/>
      <c r="AO12" s="26" t="s">
        <v>29</v>
      </c>
      <c r="AP12" s="22"/>
      <c r="AQ12" s="26" t="s">
        <v>30</v>
      </c>
      <c r="AR12" s="24" t="s">
        <v>31</v>
      </c>
      <c r="AS12" s="22"/>
      <c r="AT12" s="22"/>
      <c r="AU12" s="22"/>
      <c r="AV12" s="22"/>
      <c r="AW12" s="22"/>
      <c r="AX12" s="26" t="s">
        <v>28</v>
      </c>
      <c r="AY12" s="22"/>
      <c r="AZ12" s="22"/>
      <c r="BA12" s="22"/>
      <c r="BB12" s="22"/>
      <c r="BC12" s="22"/>
      <c r="BD12" s="26" t="s">
        <v>28</v>
      </c>
      <c r="BE12" s="22"/>
      <c r="BF12" s="22"/>
      <c r="BG12" s="22"/>
      <c r="BH12" s="27" t="s">
        <v>29</v>
      </c>
      <c r="BI12" s="22"/>
      <c r="BJ12" s="26" t="s">
        <v>30</v>
      </c>
      <c r="BK12" s="24" t="s">
        <v>31</v>
      </c>
      <c r="BL12" s="22"/>
      <c r="BM12" s="22"/>
      <c r="BN12" s="22"/>
      <c r="BO12" s="22"/>
      <c r="BP12" s="22"/>
      <c r="BQ12" s="26" t="s">
        <v>28</v>
      </c>
      <c r="BR12" s="22"/>
      <c r="BS12" s="22"/>
      <c r="BT12" s="22"/>
      <c r="BU12" s="22"/>
      <c r="BV12" s="22"/>
      <c r="BW12" s="26" t="s">
        <v>28</v>
      </c>
      <c r="BX12" s="22"/>
      <c r="BY12" s="22"/>
      <c r="BZ12" s="22"/>
      <c r="CA12" s="26" t="s">
        <v>29</v>
      </c>
      <c r="CB12" s="22"/>
      <c r="CC12" s="26" t="s">
        <v>30</v>
      </c>
      <c r="CD12" s="24" t="s">
        <v>31</v>
      </c>
      <c r="CE12" s="15" t="s">
        <v>32</v>
      </c>
      <c r="CF12" s="15" t="s">
        <v>33</v>
      </c>
      <c r="CG12" s="15" t="s">
        <v>34</v>
      </c>
      <c r="CH12" s="15" t="s">
        <v>35</v>
      </c>
    </row>
    <row r="13" spans="1:86" customHeight="1" ht="20.25">
      <c r="A13" s="39">
        <v>1</v>
      </c>
      <c r="B13" s="2">
        <v>10282516</v>
      </c>
      <c r="C13" s="2">
        <v>4384</v>
      </c>
      <c r="D13" s="2">
        <v>26947</v>
      </c>
      <c r="E13" s="2" t="s">
        <v>36</v>
      </c>
      <c r="F13" s="40" t="s">
        <v>37</v>
      </c>
      <c r="G13" s="31"/>
      <c r="H13" s="7"/>
      <c r="I13" s="7"/>
      <c r="J13" s="7"/>
      <c r="K13" s="7"/>
      <c r="L13" s="46">
        <f>IF(OR($G$4="MEDIA",$G$4="BASICA - TERCER CICLO"),ROUND(((G13*$G$11)+(H13*$H$11)+(I13*$I$11)+(J13*$J$11)+(K13*$K$11)*100)/35%,2),ROUND((G13*$G$11)+(H13*$H$11)+(I13*$I$11)+(J13*$J$11)+(K13*$K$11),2))</f>
        <v>0</v>
      </c>
      <c r="M13" s="7"/>
      <c r="N13" s="7"/>
      <c r="O13" s="7"/>
      <c r="P13" s="7"/>
      <c r="Q13" s="7"/>
      <c r="R13" s="46">
        <f>IF(OR($G$4="MEDIA",$G$4="BASICA - TERCER CICLO"),ROUND(((M13*$M$11)+(N13*$N$11)+(O13*$O$11)+(P13*$P$11)+(Q13*$Q$11)*100)/35%,2),ROUND((M13*$M$11)+(N13*$N$11)+(O13*$O$11)+(P13*$P$11)+(Q13*$Q$11),2))</f>
        <v>0</v>
      </c>
      <c r="S13" s="7"/>
      <c r="T13" s="7"/>
      <c r="U13" s="7"/>
      <c r="V13" s="13">
        <f>IF(OR($G$4="MEDIA",$G$4="BASICA - TERCER CICLO"),ROUND(((S13*$S$11)+(T13*$T$11)+(U13*$U$11)*100)/30%,2),ROUND(((S13*$S$11)+(T13*$T$11)+(U13*$U$11)*100)/30%,2))</f>
        <v>0</v>
      </c>
      <c r="W13" s="7"/>
      <c r="X13" s="14">
        <f>IF(OR($G$4="MEDIA",$G$4="BASICA - TERCER CICLO"),ROUND((W13*$W$11),2),ROUND((W13*$W$11),0))</f>
        <v>0</v>
      </c>
      <c r="Y13" s="47">
        <f>ROUND((L13+R13+V13)/3,1)</f>
        <v>0</v>
      </c>
      <c r="Z13" s="7"/>
      <c r="AA13" s="7"/>
      <c r="AB13" s="7"/>
      <c r="AC13" s="7"/>
      <c r="AD13" s="7"/>
      <c r="AE13" s="46">
        <f>IF(OR($G$4="MEDIA",$G$4="BASICA - TERCER CICLO"),ROUND(((Z13*$Z$11)+(AA13*$AA$11)+(AB13*$AB$11)+(AC13*$AC$11)+(AD13*$AD$11)*100)/35%,2),ROUND((Z13*$Z$11)+(AA13*$AA$11)+(AB13*$AB$11)+(AC13*$AC$11)+(AD13*$AD$11),2))</f>
        <v>0</v>
      </c>
      <c r="AF13" s="7"/>
      <c r="AG13" s="7"/>
      <c r="AH13" s="7"/>
      <c r="AI13" s="7"/>
      <c r="AJ13" s="7"/>
      <c r="AK13" s="46">
        <f>IF(OR($G$4="MEDIA",$G$4="BASICA - TERCER CICLO"),ROUND(((AF13*$AF$11)+(AG13*$AG$11)+(AH13*$AH$11)+(AI13*$AI$11)+(AJ13*$AJ$11)*100)/35%,2),ROUND((AF13*$AF$11)+(AG13*$AG$11)+(AH13*$AH$11)+(AI13*$AI$11)+(AJ13*$AJ$11),2))</f>
        <v>0</v>
      </c>
      <c r="AL13" s="7"/>
      <c r="AM13" s="7"/>
      <c r="AN13" s="7"/>
      <c r="AO13" s="46">
        <f>IF(OR($G$4="MEDIA",$G$4="BASICA - TERCER CICLO"),ROUND(((AL13*$AL$11)+(AM13*$AM$11)+(AN13*$AN$11)*100)/30%,2),ROUND(((AL13*$AL$11)+(AM13*$AM$11)+(AN13*$AN$11)*100)/30%,2))</f>
        <v>0</v>
      </c>
      <c r="AP13" s="7"/>
      <c r="AQ13" s="14">
        <f>IF(OR($G$4="MEDIA",$G$4="BASICA - TERCER CICLO"),ROUND((AP13*$AP$11),2),ROUND((AP13*$AP$11),0))</f>
        <v>0</v>
      </c>
      <c r="AR13" s="47">
        <f>ROUND((AE13+AK13+AO13)/3,1)</f>
        <v>0</v>
      </c>
      <c r="AS13" s="7"/>
      <c r="AT13" s="7"/>
      <c r="AU13" s="7"/>
      <c r="AV13" s="7"/>
      <c r="AW13" s="7"/>
      <c r="AX13" s="46">
        <f>IF(OR($G$4="MEDIA",$G$4="BASICA - TERCER CICLO"),ROUND(((AS13*$AS$11)+(AT13*$AT$11)+(AU13*$AU$11)+(AV13*$AV$11)+(AW13*$AW$11)*100)/35%,2),ROUND((AS13*$AS$11)+(AT13*$AT$11)+(AU13*$AU$11)+(AV13*$AV$11)+(AW13*$AW$11),2))</f>
        <v>0</v>
      </c>
      <c r="AY13" s="7"/>
      <c r="AZ13" s="7"/>
      <c r="BA13" s="7"/>
      <c r="BB13" s="7"/>
      <c r="BC13" s="7"/>
      <c r="BD13" s="46">
        <f>IF(OR($G$4="MEDIA",$G$4="BASICA - TERCER CICLO"),ROUND(((AY13*$AY$11)+(AZ13*$AZ$11)+(BA13*$BA$11)+(BB13*$BB$11)+(BC13*$BC$11)*100)/35%,2),ROUND((AY13*$AY$11)+(AZ13*$AZ$11)+(BA13*$BA$11)+(BB13*$BB$11)+(BC13*$BC$11),2))</f>
        <v>0</v>
      </c>
      <c r="BE13" s="7"/>
      <c r="BF13" s="7"/>
      <c r="BG13" s="7"/>
      <c r="BH13" s="46">
        <f>IF(OR($G$4="MEDIA",$G$4="BASICA - TERCER CICLO"),ROUND(((BE13*$BE$11)+(BF13*$BF$11)+(BG13*$BG$11)*100)/30%,2),ROUND(((BE13*$BE$11)+(BF13*$BF$11)+(BG13*$BG$11)*100)/30%,2))</f>
        <v>0</v>
      </c>
      <c r="BI13" s="7"/>
      <c r="BJ13" s="14">
        <f>IF(OR($G$4="MEDIA",$G$4="BASICA - TERCER CICLO"),ROUND((BI13*$BI$11),2),ROUND((BI13*$BI$11),0))</f>
        <v>0</v>
      </c>
      <c r="BK13" s="47">
        <f>ROUND((AX13+BD13+BH13)/3,1)</f>
        <v>0</v>
      </c>
      <c r="BL13" s="7"/>
      <c r="BM13" s="7"/>
      <c r="BN13" s="7"/>
      <c r="BO13" s="7"/>
      <c r="BP13" s="7"/>
      <c r="BQ13" s="13">
        <f>IF(OR($G$4="MEDIA",$G$4="BASICA - TERCER CICLO"),ROUND(((BL13*$BL$11)+(BM13*$BM$11)+(BN13*$BN$11)+(BO13*$BO$11)+(BP13*$BP$11)*100)/35%,2),ROUND(((BL13*$BL$11)+(BM13*$BM$11)+(BN13*$BN$11)+(BO13*$BO$11)+(BP13*$BP$11)*100)/35%,2))</f>
        <v>0</v>
      </c>
      <c r="BR13" s="7"/>
      <c r="BS13" s="7"/>
      <c r="BT13" s="7"/>
      <c r="BU13" s="7"/>
      <c r="BV13" s="7"/>
      <c r="BW13" s="13">
        <f>IF(OR($G$4="MEDIA",$G$4="BASICA - TERCER CICLO"),ROUND(((BR13*$BR$11)+(BS13*$BS$11)+(BT13*$BT$11)+(BU13*$BU$11)+(BV13*$BV$11)*100)/35%,2),ROUND(((BR13*$BR$11)+(BS13*$BS$11)+(BT13*$BT$11)+(BU13*$BU$11)+(BV13*$BP$11)*100)/35%,2))</f>
        <v>0</v>
      </c>
      <c r="BX13" s="7"/>
      <c r="BY13" s="7"/>
      <c r="BZ13" s="7"/>
      <c r="CA13" s="13">
        <f>IF(OR($G$4="MEDIA",$G$4="BASICA - TERCER CICLO"),ROUND(((BX13*$BX$11)+(BY13*$BY$11)+(BZ13*$BZ$11)*100)/30%,2),ROUND(((BX13*$BX$11)+(BY13*$BY$11)+(BZ13*$BZ$11)*100)/30%,2))</f>
        <v>0</v>
      </c>
      <c r="CB13" s="7"/>
      <c r="CC13" s="14">
        <f>IF(OR($G$4="MEDIA",$G$4="BASICA - TERCER CICLO"),ROUND((CB13*$BI$11),2),ROUND((CB13*$BI$11),0))</f>
        <v>0</v>
      </c>
      <c r="CD13" s="28">
        <f>IF(OR($G$4="MEDIA",$G$4="BASICA - TERCER CICLO"),ROUND((BQ13+BW13+CA13+CC13),1),IF($G$4="BASICA",ROUND((BQ13+BW13+CA13+CC13),1),ROUND((BQ13+BW13+CA13+CC13),1)))</f>
        <v>0</v>
      </c>
      <c r="CE13" s="28">
        <f>IF($G$4 = "MEDIA",ROUND(((Y13+AR13+BK13+CD13)/4),0),ROUND(((Y13+AR13+BK13)/3),0))</f>
        <v>0</v>
      </c>
      <c r="CF13" s="18"/>
      <c r="CG13" s="28">
        <f>IF(AND(CE13&lt;5,$G$4="BASICA"),ROUND((CE13+CF13)/2,0),IF(AND(CE13&lt;6,$G$4="MEDIA"),ROUND((CE13+CF13)/2,0),CE13))</f>
        <v>0</v>
      </c>
      <c r="CH13" s="17" t="str">
        <f>IF($G$4="MEDIA",IF(CG13&gt;=6,"Aprobado","Reprobado"),IF(CG13&gt;=5,"Aprobado","Reprobado"))</f>
        <v>Reprobado</v>
      </c>
    </row>
    <row r="14" spans="1:86" customHeight="1" ht="20.25">
      <c r="A14" s="41">
        <v>2</v>
      </c>
      <c r="B14" s="3">
        <v>10282518</v>
      </c>
      <c r="C14" s="3">
        <v>4385</v>
      </c>
      <c r="D14" s="3">
        <v>26948</v>
      </c>
      <c r="E14" s="3" t="s">
        <v>38</v>
      </c>
      <c r="F14" s="42" t="s">
        <v>39</v>
      </c>
      <c r="G14" s="32"/>
      <c r="H14" s="12"/>
      <c r="I14" s="12"/>
      <c r="J14" s="12"/>
      <c r="K14" s="12"/>
      <c r="L14" s="46">
        <f>IF(OR($G$4="MEDIA",$G$4="BASICA - TERCER CICLO"),ROUND(((G14*$G$11)+(H14*$H$11)+(I14*$I$11)+(J14*$J$11)+(K14*$K$11)*100)/35%,2),ROUND((G14*$G$11)+(H14*$H$11)+(I14*$I$11)+(J14*$J$11)+(K14*$K$11),2))</f>
        <v>0</v>
      </c>
      <c r="M14" s="12"/>
      <c r="N14" s="12"/>
      <c r="O14" s="12"/>
      <c r="P14" s="12"/>
      <c r="Q14" s="12"/>
      <c r="R14" s="46">
        <f>IF(OR($G$4="MEDIA",$G$4="BASICA - TERCER CICLO"),ROUND(((M14*$M$11)+(N14*$N$11)+(O14*$O$11)+(P14*$P$11)+(Q14*$Q$11)*100)/35%,2),ROUND((M14*$M$11)+(N14*$N$11)+(O14*$O$11)+(P14*$P$11)+(Q14*$Q$11),2))</f>
        <v>0</v>
      </c>
      <c r="S14" s="12"/>
      <c r="T14" s="12"/>
      <c r="U14" s="12"/>
      <c r="V14" s="13">
        <f>IF(OR($G$4="MEDIA",$G$4="BASICA - TERCER CICLO"),ROUND(((S14*$S$11)+(T14*$T$11)+(U14*$U$11)*100)/30%,2),ROUND(((S14*$S$11)+(T14*$T$11)+(U14*$U$11)*100)/30%,2))</f>
        <v>0</v>
      </c>
      <c r="W14" s="12"/>
      <c r="X14" s="14">
        <f>IF(OR($G$4="MEDIA",$G$4="BASICA - TERCER CICLO"),ROUND((W14*$W$11),2),ROUND((W14*$W$11),0))</f>
        <v>0</v>
      </c>
      <c r="Y14" s="47">
        <f>ROUND((L14+R14+V14)/3,1)</f>
        <v>0</v>
      </c>
      <c r="Z14" s="12"/>
      <c r="AA14" s="12"/>
      <c r="AB14" s="12"/>
      <c r="AC14" s="12"/>
      <c r="AD14" s="12"/>
      <c r="AE14" s="46">
        <f>IF(OR($G$4="MEDIA",$G$4="BASICA - TERCER CICLO"),ROUND(((Z14*$Z$11)+(AA14*$AA$11)+(AB14*$AB$11)+(AC14*$AC$11)+(AD14*$AD$11)*100)/35%,2),ROUND((Z14*$Z$11)+(AA14*$AA$11)+(AB14*$AB$11)+(AC14*$AC$11)+(AD14*$AD$11),2))</f>
        <v>0</v>
      </c>
      <c r="AF14" s="12"/>
      <c r="AG14" s="12"/>
      <c r="AH14" s="12"/>
      <c r="AI14" s="12"/>
      <c r="AJ14" s="12"/>
      <c r="AK14" s="46">
        <f>IF(OR($G$4="MEDIA",$G$4="BASICA - TERCER CICLO"),ROUND(((AF14*$AF$11)+(AG14*$AG$11)+(AH14*$AH$11)+(AI14*$AI$11)+(AJ14*$AJ$11)*100)/35%,2),ROUND((AF14*$AF$11)+(AG14*$AG$11)+(AH14*$AH$11)+(AI14*$AI$11)+(AJ14*$AJ$11),2))</f>
        <v>0</v>
      </c>
      <c r="AL14" s="12"/>
      <c r="AM14" s="12"/>
      <c r="AN14" s="12"/>
      <c r="AO14" s="46">
        <f>IF(OR($G$4="MEDIA",$G$4="BASICA - TERCER CICLO"),ROUND(((AL14*$AL$11)+(AM14*$AM$11)+(AN14*$AN$11)*100)/30%,2),ROUND(((AL14*$AL$11)+(AM14*$AM$11)+(AN14*$AN$11)*100)/30%,2))</f>
        <v>0</v>
      </c>
      <c r="AP14" s="12"/>
      <c r="AQ14" s="14">
        <f>IF(OR($G$4="MEDIA",$G$4="BASICA - TERCER CICLO"),ROUND((AP14*$AP$11),2),ROUND((AP14*$AP$11),0))</f>
        <v>0</v>
      </c>
      <c r="AR14" s="47">
        <f>ROUND((AE14+AK14+AO14)/3,1)</f>
        <v>0</v>
      </c>
      <c r="AS14" s="12"/>
      <c r="AT14" s="12"/>
      <c r="AU14" s="12"/>
      <c r="AV14" s="12"/>
      <c r="AW14" s="12"/>
      <c r="AX14" s="46">
        <f>IF(OR($G$4="MEDIA",$G$4="BASICA - TERCER CICLO"),ROUND(((AS14*$AS$11)+(AT14*$AT$11)+(AU14*$AU$11)+(AV14*$AV$11)+(AW14*$AW$11)*100)/35%,2),ROUND((AS14*$AS$11)+(AT14*$AT$11)+(AU14*$AU$11)+(AV14*$AV$11)+(AW14*$AW$11),2))</f>
        <v>0</v>
      </c>
      <c r="AY14" s="12"/>
      <c r="AZ14" s="12"/>
      <c r="BA14" s="12"/>
      <c r="BB14" s="12"/>
      <c r="BC14" s="12"/>
      <c r="BD14" s="46">
        <f>IF(OR($G$4="MEDIA",$G$4="BASICA - TERCER CICLO"),ROUND(((AY14*$AY$11)+(AZ14*$AZ$11)+(BA14*$BA$11)+(BB14*$BB$11)+(BC14*$BC$11)*100)/35%,2),ROUND((AY14*$AY$11)+(AZ14*$AZ$11)+(BA14*$BA$11)+(BB14*$BB$11)+(BC14*$BC$11),2))</f>
        <v>0</v>
      </c>
      <c r="BE14" s="12"/>
      <c r="BF14" s="12"/>
      <c r="BG14" s="12"/>
      <c r="BH14" s="46">
        <f>IF(OR($G$4="MEDIA",$G$4="BASICA - TERCER CICLO"),ROUND(((BE14*$BE$11)+(BF14*$BF$11)+(BG14*$BG$11)*100)/30%,2),ROUND(((BE14*$BE$11)+(BF14*$BF$11)+(BG14*$BG$11)*100)/30%,2))</f>
        <v>0</v>
      </c>
      <c r="BI14" s="12"/>
      <c r="BJ14" s="14">
        <f>IF(OR($G$4="MEDIA",$G$4="BASICA - TERCER CICLO"),ROUND((BI14*$BI$11),2),ROUND((BI14*$BI$11),0))</f>
        <v>0</v>
      </c>
      <c r="BK14" s="47">
        <f>ROUND((AX14+BD14+BH14)/3,1)</f>
        <v>0</v>
      </c>
      <c r="BL14" s="12"/>
      <c r="BM14" s="12"/>
      <c r="BN14" s="12"/>
      <c r="BO14" s="12"/>
      <c r="BP14" s="12"/>
      <c r="BQ14" s="13">
        <f>IF(OR($G$4="MEDIA",$G$4="BASICA - TERCER CICLO"),ROUND(((BL14*$BL$11)+(BM14*$BM$11)+(BN14*$BN$11)+(BO14*$BO$11)+(BP14*$BP$11)*100)/35%,2),ROUND(((BL14*$BL$11)+(BM14*$BM$11)+(BN14*$BN$11)+(BO14*$BO$11)+(BP14*$BP$11)*100)/35%,2))</f>
        <v>0</v>
      </c>
      <c r="BR14" s="12"/>
      <c r="BS14" s="12"/>
      <c r="BT14" s="12"/>
      <c r="BU14" s="12"/>
      <c r="BV14" s="12"/>
      <c r="BW14" s="13">
        <f>IF(OR($G$4="MEDIA",$G$4="BASICA - TERCER CICLO"),ROUND(((BR14*$BR$11)+(BS14*$BS$11)+(BT14*$BT$11)+(BU14*$BU$11)+(BV14*$BV$11)*100)/35%,2),ROUND(((BR14*$BR$11)+(BS14*$BS$11)+(BT14*$BT$11)+(BU14*$BU$11)+(BV14*$BP$11)*100)/35%,2))</f>
        <v>0</v>
      </c>
      <c r="BX14" s="12"/>
      <c r="BY14" s="12"/>
      <c r="BZ14" s="12"/>
      <c r="CA14" s="13">
        <f>IF(OR($G$4="MEDIA",$G$4="BASICA - TERCER CICLO"),ROUND(((BX14*$BX$11)+(BY14*$BY$11)+(BZ14*$BZ$11)*100)/30%,2),ROUND(((BX14*$BX$11)+(BY14*$BY$11)+(BZ14*$BZ$11)*100)/30%,2))</f>
        <v>0</v>
      </c>
      <c r="CB14" s="12"/>
      <c r="CC14" s="14">
        <f>IF(OR($G$4="MEDIA",$G$4="BASICA - TERCER CICLO"),ROUND((CB14*$BI$11),2),ROUND((CB14*$BI$11),0))</f>
        <v>0</v>
      </c>
      <c r="CD14" s="28">
        <f>IF(OR($G$4="MEDIA",$G$4="BASICA - TERCER CICLO"),ROUND((BQ14+BW14+CA14+CC14),1),IF($G$4="BASICA",ROUND((BQ14+BW14+CA14+CC14),0),ROUND((BQ14+BW14+CA14+CC14),1)))</f>
        <v>0</v>
      </c>
      <c r="CE14" s="28">
        <f>IF($G$4 = "MEDIA",ROUND(((Y14+AR14+BK14+CD14)/4),0),ROUND(((Y14+AR14+BK14)/3),0))</f>
        <v>0</v>
      </c>
      <c r="CF14" s="19"/>
      <c r="CG14" s="28">
        <f>IF(AND(CE14&lt;5,$G$4="BASICA"),ROUND((CE14+CF14)/2,0),IF(AND(CE14&lt;6,$G$4="MEDIA"),ROUND((CE14+CF14)/2,0),CE14))</f>
        <v>0</v>
      </c>
      <c r="CH14" s="16" t="str">
        <f>IF($G$4="MEDIA",IF(CG14&gt;=6,"Aprobado","Reprobado"),IF(CG14&gt;=5,"Aprobado","Reprobado"))</f>
        <v>Reprobado</v>
      </c>
    </row>
    <row r="15" spans="1:86" customHeight="1" ht="20.25">
      <c r="A15" s="39">
        <v>3</v>
      </c>
      <c r="B15" s="2">
        <v>10584473</v>
      </c>
      <c r="C15" s="2">
        <v>5160</v>
      </c>
      <c r="D15" s="2">
        <v>26949</v>
      </c>
      <c r="E15" s="2" t="s">
        <v>40</v>
      </c>
      <c r="F15" s="40" t="s">
        <v>39</v>
      </c>
      <c r="G15" s="31"/>
      <c r="H15" s="7"/>
      <c r="I15" s="7"/>
      <c r="J15" s="7"/>
      <c r="K15" s="7"/>
      <c r="L15" s="46">
        <f>IF(OR($G$4="MEDIA",$G$4="BASICA - TERCER CICLO"),ROUND(((G15*$G$11)+(H15*$H$11)+(I15*$I$11)+(J15*$J$11)+(K15*$K$11)*100)/35%,2),ROUND((G15*$G$11)+(H15*$H$11)+(I15*$I$11)+(J15*$J$11)+(K15*$K$11),2))</f>
        <v>0</v>
      </c>
      <c r="M15" s="7"/>
      <c r="N15" s="7"/>
      <c r="O15" s="7"/>
      <c r="P15" s="7"/>
      <c r="Q15" s="7"/>
      <c r="R15" s="46">
        <f>IF(OR($G$4="MEDIA",$G$4="BASICA - TERCER CICLO"),ROUND(((M15*$M$11)+(N15*$N$11)+(O15*$O$11)+(P15*$P$11)+(Q15*$Q$11)*100)/35%,2),ROUND((M15*$M$11)+(N15*$N$11)+(O15*$O$11)+(P15*$P$11)+(Q15*$Q$11),2))</f>
        <v>0</v>
      </c>
      <c r="S15" s="7"/>
      <c r="T15" s="7"/>
      <c r="U15" s="7"/>
      <c r="V15" s="13">
        <f>IF(OR($G$4="MEDIA",$G$4="BASICA - TERCER CICLO"),ROUND(((S15*$S$11)+(T15*$T$11)+(U15*$U$11)*100)/30%,2),ROUND(((S15*$S$11)+(T15*$T$11)+(U15*$U$11)*100)/30%,2))</f>
        <v>0</v>
      </c>
      <c r="W15" s="7"/>
      <c r="X15" s="14">
        <f>IF(OR($G$4="MEDIA",$G$4="BASICA - TERCER CICLO"),ROUND((W15*$W$11),2),ROUND((W15*$W$11),0))</f>
        <v>0</v>
      </c>
      <c r="Y15" s="47">
        <f>ROUND((L15+R15+V15)/3,1)</f>
        <v>0</v>
      </c>
      <c r="Z15" s="7"/>
      <c r="AA15" s="7"/>
      <c r="AB15" s="7"/>
      <c r="AC15" s="7"/>
      <c r="AD15" s="7"/>
      <c r="AE15" s="46">
        <f>IF(OR($G$4="MEDIA",$G$4="BASICA - TERCER CICLO"),ROUND(((Z15*$Z$11)+(AA15*$AA$11)+(AB15*$AB$11)+(AC15*$AC$11)+(AD15*$AD$11)*100)/35%,2),ROUND((Z15*$Z$11)+(AA15*$AA$11)+(AB15*$AB$11)+(AC15*$AC$11)+(AD15*$AD$11),2))</f>
        <v>0</v>
      </c>
      <c r="AF15" s="7"/>
      <c r="AG15" s="7"/>
      <c r="AH15" s="7"/>
      <c r="AI15" s="7"/>
      <c r="AJ15" s="7"/>
      <c r="AK15" s="46">
        <f>IF(OR($G$4="MEDIA",$G$4="BASICA - TERCER CICLO"),ROUND(((AF15*$AF$11)+(AG15*$AG$11)+(AH15*$AH$11)+(AI15*$AI$11)+(AJ15*$AJ$11)*100)/35%,2),ROUND((AF15*$AF$11)+(AG15*$AG$11)+(AH15*$AH$11)+(AI15*$AI$11)+(AJ15*$AJ$11),2))</f>
        <v>0</v>
      </c>
      <c r="AL15" s="7"/>
      <c r="AM15" s="7"/>
      <c r="AN15" s="7"/>
      <c r="AO15" s="46">
        <f>IF(OR($G$4="MEDIA",$G$4="BASICA - TERCER CICLO"),ROUND(((AL15*$AL$11)+(AM15*$AM$11)+(AN15*$AN$11)*100)/30%,2),ROUND(((AL15*$AL$11)+(AM15*$AM$11)+(AN15*$AN$11)*100)/30%,2))</f>
        <v>0</v>
      </c>
      <c r="AP15" s="7"/>
      <c r="AQ15" s="14">
        <f>IF(OR($G$4="MEDIA",$G$4="BASICA - TERCER CICLO"),ROUND((AP15*$AP$11),2),ROUND((AP15*$AP$11),0))</f>
        <v>0</v>
      </c>
      <c r="AR15" s="47">
        <f>ROUND((AE15+AK15+AO15)/3,1)</f>
        <v>0</v>
      </c>
      <c r="AS15" s="7"/>
      <c r="AT15" s="7"/>
      <c r="AU15" s="7"/>
      <c r="AV15" s="7"/>
      <c r="AW15" s="7"/>
      <c r="AX15" s="46">
        <f>IF(OR($G$4="MEDIA",$G$4="BASICA - TERCER CICLO"),ROUND(((AS15*$AS$11)+(AT15*$AT$11)+(AU15*$AU$11)+(AV15*$AV$11)+(AW15*$AW$11)*100)/35%,2),ROUND((AS15*$AS$11)+(AT15*$AT$11)+(AU15*$AU$11)+(AV15*$AV$11)+(AW15*$AW$11),2))</f>
        <v>0</v>
      </c>
      <c r="AY15" s="7"/>
      <c r="AZ15" s="7"/>
      <c r="BA15" s="7"/>
      <c r="BB15" s="7"/>
      <c r="BC15" s="7"/>
      <c r="BD15" s="46">
        <f>IF(OR($G$4="MEDIA",$G$4="BASICA - TERCER CICLO"),ROUND(((AY15*$AY$11)+(AZ15*$AZ$11)+(BA15*$BA$11)+(BB15*$BB$11)+(BC15*$BC$11)*100)/35%,2),ROUND((AY15*$AY$11)+(AZ15*$AZ$11)+(BA15*$BA$11)+(BB15*$BB$11)+(BC15*$BC$11),2))</f>
        <v>0</v>
      </c>
      <c r="BE15" s="7"/>
      <c r="BF15" s="7"/>
      <c r="BG15" s="7"/>
      <c r="BH15" s="46">
        <f>IF(OR($G$4="MEDIA",$G$4="BASICA - TERCER CICLO"),ROUND(((BE15*$BE$11)+(BF15*$BF$11)+(BG15*$BG$11)*100)/30%,2),ROUND(((BE15*$BE$11)+(BF15*$BF$11)+(BG15*$BG$11)*100)/30%,2))</f>
        <v>0</v>
      </c>
      <c r="BI15" s="7"/>
      <c r="BJ15" s="14">
        <f>IF(OR($G$4="MEDIA",$G$4="BASICA - TERCER CICLO"),ROUND((BI15*$BI$11),2),ROUND((BI15*$BI$11),0))</f>
        <v>0</v>
      </c>
      <c r="BK15" s="47">
        <f>ROUND((AX15+BD15+BH15)/3,1)</f>
        <v>0</v>
      </c>
      <c r="BL15" s="7"/>
      <c r="BM15" s="7"/>
      <c r="BN15" s="7"/>
      <c r="BO15" s="7"/>
      <c r="BP15" s="7"/>
      <c r="BQ15" s="13">
        <f>IF(OR($G$4="MEDIA",$G$4="BASICA - TERCER CICLO"),ROUND(((BL15*$BL$11)+(BM15*$BM$11)+(BN15*$BN$11)+(BO15*$BO$11)+(BP15*$BP$11)*100)/35%,2),ROUND(((BL15*$BL$11)+(BM15*$BM$11)+(BN15*$BN$11)+(BO15*$BO$11)+(BP15*$BP$11)*100)/35%,2))</f>
        <v>0</v>
      </c>
      <c r="BR15" s="7"/>
      <c r="BS15" s="7"/>
      <c r="BT15" s="7"/>
      <c r="BU15" s="7"/>
      <c r="BV15" s="7"/>
      <c r="BW15" s="13">
        <f>IF(OR($G$4="MEDIA",$G$4="BASICA - TERCER CICLO"),ROUND(((BR15*$BR$11)+(BS15*$BS$11)+(BT15*$BT$11)+(BU15*$BU$11)+(BV15*$BV$11)*100)/35%,2),ROUND(((BR15*$BR$11)+(BS15*$BS$11)+(BT15*$BT$11)+(BU15*$BU$11)+(BV15*$BP$11)*100)/35%,2))</f>
        <v>0</v>
      </c>
      <c r="BX15" s="7"/>
      <c r="BY15" s="7"/>
      <c r="BZ15" s="7"/>
      <c r="CA15" s="13">
        <f>IF(OR($G$4="MEDIA",$G$4="BASICA - TERCER CICLO"),ROUND(((BX15*$BX$11)+(BY15*$BY$11)+(BZ15*$BZ$11)*100)/30%,2),ROUND(((BX15*$BX$11)+(BY15*$BY$11)+(BZ15*$BZ$11)*100)/30%,2))</f>
        <v>0</v>
      </c>
      <c r="CB15" s="7"/>
      <c r="CC15" s="14">
        <f>IF(OR($G$4="MEDIA",$G$4="BASICA - TERCER CICLO"),ROUND((CB15*$BI$11),2),ROUND((CB15*$BI$11),0))</f>
        <v>0</v>
      </c>
      <c r="CD15" s="28">
        <f>IF(OR($G$4="MEDIA",$G$4="BASICA - TERCER CICLO"),ROUND((BQ15+BW15+CA15+CC15),1),IF($G$4="BASICA",ROUND((BQ15+BW15+CA15+CC15),0),ROUND((BQ15+BW15+CA15+CC15),1)))</f>
        <v>0</v>
      </c>
      <c r="CE15" s="28">
        <f>IF($G$4 = "MEDIA",ROUND(((Y15+AR15+BK15+CD15)/4),0),ROUND(((Y15+AR15+BK15)/3),0))</f>
        <v>0</v>
      </c>
      <c r="CF15" s="20"/>
      <c r="CG15" s="28">
        <f>IF(AND(CE15&lt;5,$G$4="BASICA"),ROUND((CE15+CF15)/2,0),IF(AND(CE15&lt;6,$G$4="MEDIA"),ROUND((CE15+CF15)/2,0),CE15))</f>
        <v>0</v>
      </c>
      <c r="CH15" s="17" t="str">
        <f>IF($G$4="MEDIA",IF(CG15&gt;=6,"Aprobado","Reprobado"),IF(CG15&gt;=5,"Aprobado","Reprobado"))</f>
        <v>Reprobado</v>
      </c>
    </row>
    <row r="16" spans="1:86" customHeight="1" ht="20.25">
      <c r="A16" s="41">
        <v>4</v>
      </c>
      <c r="B16" s="3">
        <v>10312660</v>
      </c>
      <c r="C16" s="3">
        <v>5481</v>
      </c>
      <c r="D16" s="3">
        <v>26950</v>
      </c>
      <c r="E16" s="3" t="s">
        <v>41</v>
      </c>
      <c r="F16" s="42" t="s">
        <v>39</v>
      </c>
      <c r="G16" s="32"/>
      <c r="H16" s="12"/>
      <c r="I16" s="12"/>
      <c r="J16" s="12"/>
      <c r="K16" s="12"/>
      <c r="L16" s="46">
        <f>IF(OR($G$4="MEDIA",$G$4="BASICA - TERCER CICLO"),ROUND(((G16*$G$11)+(H16*$H$11)+(I16*$I$11)+(J16*$J$11)+(K16*$K$11)*100)/35%,2),ROUND((G16*$G$11)+(H16*$H$11)+(I16*$I$11)+(J16*$J$11)+(K16*$K$11),2))</f>
        <v>0</v>
      </c>
      <c r="M16" s="12"/>
      <c r="N16" s="12"/>
      <c r="O16" s="12"/>
      <c r="P16" s="12"/>
      <c r="Q16" s="12"/>
      <c r="R16" s="46">
        <f>IF(OR($G$4="MEDIA",$G$4="BASICA - TERCER CICLO"),ROUND(((M16*$M$11)+(N16*$N$11)+(O16*$O$11)+(P16*$P$11)+(Q16*$Q$11)*100)/35%,2),ROUND((M16*$M$11)+(N16*$N$11)+(O16*$O$11)+(P16*$P$11)+(Q16*$Q$11),2))</f>
        <v>0</v>
      </c>
      <c r="S16" s="12"/>
      <c r="T16" s="12"/>
      <c r="U16" s="12"/>
      <c r="V16" s="13">
        <f>IF(OR($G$4="MEDIA",$G$4="BASICA - TERCER CICLO"),ROUND(((S16*$S$11)+(T16*$T$11)+(U16*$U$11)*100)/30%,2),ROUND(((S16*$S$11)+(T16*$T$11)+(U16*$U$11)*100)/30%,2))</f>
        <v>0</v>
      </c>
      <c r="W16" s="12"/>
      <c r="X16" s="14">
        <f>IF(OR($G$4="MEDIA",$G$4="BASICA - TERCER CICLO"),ROUND((W16*$W$11),2),ROUND((W16*$W$11),0))</f>
        <v>0</v>
      </c>
      <c r="Y16" s="47">
        <f>ROUND((L16+R16+V16)/3,1)</f>
        <v>0</v>
      </c>
      <c r="Z16" s="12"/>
      <c r="AA16" s="12"/>
      <c r="AB16" s="12"/>
      <c r="AC16" s="12"/>
      <c r="AD16" s="12"/>
      <c r="AE16" s="46">
        <f>IF(OR($G$4="MEDIA",$G$4="BASICA - TERCER CICLO"),ROUND(((Z16*$Z$11)+(AA16*$AA$11)+(AB16*$AB$11)+(AC16*$AC$11)+(AD16*$AD$11)*100)/35%,2),ROUND((Z16*$Z$11)+(AA16*$AA$11)+(AB16*$AB$11)+(AC16*$AC$11)+(AD16*$AD$11),2))</f>
        <v>0</v>
      </c>
      <c r="AF16" s="12"/>
      <c r="AG16" s="12"/>
      <c r="AH16" s="12"/>
      <c r="AI16" s="12"/>
      <c r="AJ16" s="12"/>
      <c r="AK16" s="46">
        <f>IF(OR($G$4="MEDIA",$G$4="BASICA - TERCER CICLO"),ROUND(((AF16*$AF$11)+(AG16*$AG$11)+(AH16*$AH$11)+(AI16*$AI$11)+(AJ16*$AJ$11)*100)/35%,2),ROUND((AF16*$AF$11)+(AG16*$AG$11)+(AH16*$AH$11)+(AI16*$AI$11)+(AJ16*$AJ$11),2))</f>
        <v>0</v>
      </c>
      <c r="AL16" s="12"/>
      <c r="AM16" s="12"/>
      <c r="AN16" s="12"/>
      <c r="AO16" s="46">
        <f>IF(OR($G$4="MEDIA",$G$4="BASICA - TERCER CICLO"),ROUND(((AL16*$AL$11)+(AM16*$AM$11)+(AN16*$AN$11)*100)/30%,2),ROUND(((AL16*$AL$11)+(AM16*$AM$11)+(AN16*$AN$11)*100)/30%,2))</f>
        <v>0</v>
      </c>
      <c r="AP16" s="12"/>
      <c r="AQ16" s="14">
        <f>IF(OR($G$4="MEDIA",$G$4="BASICA - TERCER CICLO"),ROUND((AP16*$AP$11),2),ROUND((AP16*$AP$11),0))</f>
        <v>0</v>
      </c>
      <c r="AR16" s="47">
        <f>ROUND((AE16+AK16+AO16)/3,1)</f>
        <v>0</v>
      </c>
      <c r="AS16" s="12"/>
      <c r="AT16" s="12"/>
      <c r="AU16" s="12"/>
      <c r="AV16" s="12"/>
      <c r="AW16" s="12"/>
      <c r="AX16" s="46">
        <f>IF(OR($G$4="MEDIA",$G$4="BASICA - TERCER CICLO"),ROUND(((AS16*$AS$11)+(AT16*$AT$11)+(AU16*$AU$11)+(AV16*$AV$11)+(AW16*$AW$11)*100)/35%,2),ROUND((AS16*$AS$11)+(AT16*$AT$11)+(AU16*$AU$11)+(AV16*$AV$11)+(AW16*$AW$11),2))</f>
        <v>0</v>
      </c>
      <c r="AY16" s="12"/>
      <c r="AZ16" s="12"/>
      <c r="BA16" s="12"/>
      <c r="BB16" s="12"/>
      <c r="BC16" s="12"/>
      <c r="BD16" s="46">
        <f>IF(OR($G$4="MEDIA",$G$4="BASICA - TERCER CICLO"),ROUND(((AY16*$AY$11)+(AZ16*$AZ$11)+(BA16*$BA$11)+(BB16*$BB$11)+(BC16*$BC$11)*100)/35%,2),ROUND((AY16*$AY$11)+(AZ16*$AZ$11)+(BA16*$BA$11)+(BB16*$BB$11)+(BC16*$BC$11),2))</f>
        <v>0</v>
      </c>
      <c r="BE16" s="12"/>
      <c r="BF16" s="12"/>
      <c r="BG16" s="12"/>
      <c r="BH16" s="46">
        <f>IF(OR($G$4="MEDIA",$G$4="BASICA - TERCER CICLO"),ROUND(((BE16*$BE$11)+(BF16*$BF$11)+(BG16*$BG$11)*100)/30%,2),ROUND(((BE16*$BE$11)+(BF16*$BF$11)+(BG16*$BG$11)*100)/30%,2))</f>
        <v>0</v>
      </c>
      <c r="BI16" s="12"/>
      <c r="BJ16" s="14">
        <f>IF(OR($G$4="MEDIA",$G$4="BASICA - TERCER CICLO"),ROUND((BI16*$BI$11),2),ROUND((BI16*$BI$11),0))</f>
        <v>0</v>
      </c>
      <c r="BK16" s="47">
        <f>ROUND((AX16+BD16+BH16)/3,1)</f>
        <v>0</v>
      </c>
      <c r="BL16" s="12"/>
      <c r="BM16" s="12"/>
      <c r="BN16" s="12"/>
      <c r="BO16" s="12"/>
      <c r="BP16" s="12"/>
      <c r="BQ16" s="13">
        <f>IF(OR($G$4="MEDIA",$G$4="BASICA - TERCER CICLO"),ROUND(((BL16*$BL$11)+(BM16*$BM$11)+(BN16*$BN$11)+(BO16*$BO$11)+(BP16*$BP$11)*100)/35%,2),ROUND(((BL16*$BL$11)+(BM16*$BM$11)+(BN16*$BN$11)+(BO16*$BO$11)+(BP16*$BP$11)*100)/35%,2))</f>
        <v>0</v>
      </c>
      <c r="BR16" s="12"/>
      <c r="BS16" s="12"/>
      <c r="BT16" s="12"/>
      <c r="BU16" s="12"/>
      <c r="BV16" s="12"/>
      <c r="BW16" s="13">
        <f>IF(OR($G$4="MEDIA",$G$4="BASICA - TERCER CICLO"),ROUND(((BR16*$BR$11)+(BS16*$BS$11)+(BT16*$BT$11)+(BU16*$BU$11)+(BV16*$BV$11)*100)/35%,2),ROUND(((BR16*$BR$11)+(BS16*$BS$11)+(BT16*$BT$11)+(BU16*$BU$11)+(BV16*$BP$11)*100)/35%,2))</f>
        <v>0</v>
      </c>
      <c r="BX16" s="12"/>
      <c r="BY16" s="12"/>
      <c r="BZ16" s="12"/>
      <c r="CA16" s="13">
        <f>IF(OR($G$4="MEDIA",$G$4="BASICA - TERCER CICLO"),ROUND(((BX16*$BX$11)+(BY16*$BY$11)+(BZ16*$BZ$11)*100)/30%,2),ROUND(((BX16*$BX$11)+(BY16*$BY$11)+(BZ16*$BZ$11)*100)/30%,2))</f>
        <v>0</v>
      </c>
      <c r="CB16" s="12"/>
      <c r="CC16" s="14">
        <f>IF(OR($G$4="MEDIA",$G$4="BASICA - TERCER CICLO"),ROUND((CB16*$BI$11),2),ROUND((CB16*$BI$11),0))</f>
        <v>0</v>
      </c>
      <c r="CD16" s="28">
        <f>IF(OR($G$4="MEDIA",$G$4="BASICA - TERCER CICLO"),ROUND((BQ16+BW16+CA16+CC16),1),IF($G$4="BASICA",ROUND((BQ16+BW16+CA16+CC16),0),ROUND((BQ16+BW16+CA16+CC16),1)))</f>
        <v>0</v>
      </c>
      <c r="CE16" s="28">
        <f>IF($G$4 = "MEDIA",ROUND(((Y16+AR16+BK16+CD16)/4),0),ROUND(((Y16+AR16+BK16)/3),0))</f>
        <v>0</v>
      </c>
      <c r="CF16" s="21"/>
      <c r="CG16" s="28">
        <f>IF(AND(CE16&lt;5,$G$4="BASICA"),ROUND((CE16+CF16)/2,0),IF(AND(CE16&lt;6,$G$4="MEDIA"),ROUND((CE16+CF16)/2,0),CE16))</f>
        <v>0</v>
      </c>
      <c r="CH16" s="16" t="str">
        <f>IF($G$4="MEDIA",IF(CG16&gt;=6,"Aprobado","Reprobado"),IF(CG16&gt;=5,"Aprobado","Reprobado"))</f>
        <v>Reprobado</v>
      </c>
    </row>
    <row r="17" spans="1:86" customHeight="1" ht="20.25">
      <c r="A17" s="39">
        <v>5</v>
      </c>
      <c r="B17" s="2">
        <v>10292076</v>
      </c>
      <c r="C17" s="2">
        <v>4740</v>
      </c>
      <c r="D17" s="2">
        <v>26951</v>
      </c>
      <c r="E17" s="2" t="s">
        <v>42</v>
      </c>
      <c r="F17" s="40" t="s">
        <v>37</v>
      </c>
      <c r="G17" s="31"/>
      <c r="H17" s="7"/>
      <c r="I17" s="7"/>
      <c r="J17" s="7"/>
      <c r="K17" s="7"/>
      <c r="L17" s="46">
        <f>IF(OR($G$4="MEDIA",$G$4="BASICA - TERCER CICLO"),ROUND(((G17*$G$11)+(H17*$H$11)+(I17*$I$11)+(J17*$J$11)+(K17*$K$11)*100)/35%,2),ROUND((G17*$G$11)+(H17*$H$11)+(I17*$I$11)+(J17*$J$11)+(K17*$K$11),2))</f>
        <v>0</v>
      </c>
      <c r="M17" s="7"/>
      <c r="N17" s="7"/>
      <c r="O17" s="7"/>
      <c r="P17" s="7"/>
      <c r="Q17" s="7"/>
      <c r="R17" s="46">
        <f>IF(OR($G$4="MEDIA",$G$4="BASICA - TERCER CICLO"),ROUND(((M17*$M$11)+(N17*$N$11)+(O17*$O$11)+(P17*$P$11)+(Q17*$Q$11)*100)/35%,2),ROUND((M17*$M$11)+(N17*$N$11)+(O17*$O$11)+(P17*$P$11)+(Q17*$Q$11),2))</f>
        <v>0</v>
      </c>
      <c r="S17" s="7"/>
      <c r="T17" s="7"/>
      <c r="U17" s="7"/>
      <c r="V17" s="13">
        <f>IF(OR($G$4="MEDIA",$G$4="BASICA - TERCER CICLO"),ROUND(((S17*$S$11)+(T17*$T$11)+(U17*$U$11)*100)/30%,2),ROUND(((S17*$S$11)+(T17*$T$11)+(U17*$U$11)*100)/30%,2))</f>
        <v>0</v>
      </c>
      <c r="W17" s="7"/>
      <c r="X17" s="14">
        <f>IF(OR($G$4="MEDIA",$G$4="BASICA - TERCER CICLO"),ROUND((W17*$W$11),2),ROUND((W17*$W$11),0))</f>
        <v>0</v>
      </c>
      <c r="Y17" s="47">
        <f>ROUND((L17+R17+V17)/3,1)</f>
        <v>0</v>
      </c>
      <c r="Z17" s="7"/>
      <c r="AA17" s="7"/>
      <c r="AB17" s="7"/>
      <c r="AC17" s="7"/>
      <c r="AD17" s="7"/>
      <c r="AE17" s="46">
        <f>IF(OR($G$4="MEDIA",$G$4="BASICA - TERCER CICLO"),ROUND(((Z17*$Z$11)+(AA17*$AA$11)+(AB17*$AB$11)+(AC17*$AC$11)+(AD17*$AD$11)*100)/35%,2),ROUND((Z17*$Z$11)+(AA17*$AA$11)+(AB17*$AB$11)+(AC17*$AC$11)+(AD17*$AD$11),2))</f>
        <v>0</v>
      </c>
      <c r="AF17" s="7"/>
      <c r="AG17" s="7"/>
      <c r="AH17" s="7"/>
      <c r="AI17" s="7"/>
      <c r="AJ17" s="7"/>
      <c r="AK17" s="46">
        <f>IF(OR($G$4="MEDIA",$G$4="BASICA - TERCER CICLO"),ROUND(((AF17*$AF$11)+(AG17*$AG$11)+(AH17*$AH$11)+(AI17*$AI$11)+(AJ17*$AJ$11)*100)/35%,2),ROUND((AF17*$AF$11)+(AG17*$AG$11)+(AH17*$AH$11)+(AI17*$AI$11)+(AJ17*$AJ$11),2))</f>
        <v>0</v>
      </c>
      <c r="AL17" s="7"/>
      <c r="AM17" s="7"/>
      <c r="AN17" s="7"/>
      <c r="AO17" s="46">
        <f>IF(OR($G$4="MEDIA",$G$4="BASICA - TERCER CICLO"),ROUND(((AL17*$AL$11)+(AM17*$AM$11)+(AN17*$AN$11)*100)/30%,2),ROUND(((AL17*$AL$11)+(AM17*$AM$11)+(AN17*$AN$11)*100)/30%,2))</f>
        <v>0</v>
      </c>
      <c r="AP17" s="7"/>
      <c r="AQ17" s="14">
        <f>IF(OR($G$4="MEDIA",$G$4="BASICA - TERCER CICLO"),ROUND((AP17*$AP$11),2),ROUND((AP17*$AP$11),0))</f>
        <v>0</v>
      </c>
      <c r="AR17" s="47">
        <f>ROUND((AE17+AK17+AO17)/3,1)</f>
        <v>0</v>
      </c>
      <c r="AS17" s="7"/>
      <c r="AT17" s="7"/>
      <c r="AU17" s="7"/>
      <c r="AV17" s="7"/>
      <c r="AW17" s="7"/>
      <c r="AX17" s="46">
        <f>IF(OR($G$4="MEDIA",$G$4="BASICA - TERCER CICLO"),ROUND(((AS17*$AS$11)+(AT17*$AT$11)+(AU17*$AU$11)+(AV17*$AV$11)+(AW17*$AW$11)*100)/35%,2),ROUND((AS17*$AS$11)+(AT17*$AT$11)+(AU17*$AU$11)+(AV17*$AV$11)+(AW17*$AW$11),2))</f>
        <v>0</v>
      </c>
      <c r="AY17" s="7"/>
      <c r="AZ17" s="7"/>
      <c r="BA17" s="7"/>
      <c r="BB17" s="7"/>
      <c r="BC17" s="7"/>
      <c r="BD17" s="46">
        <f>IF(OR($G$4="MEDIA",$G$4="BASICA - TERCER CICLO"),ROUND(((AY17*$AY$11)+(AZ17*$AZ$11)+(BA17*$BA$11)+(BB17*$BB$11)+(BC17*$BC$11)*100)/35%,2),ROUND((AY17*$AY$11)+(AZ17*$AZ$11)+(BA17*$BA$11)+(BB17*$BB$11)+(BC17*$BC$11),2))</f>
        <v>0</v>
      </c>
      <c r="BE17" s="7"/>
      <c r="BF17" s="7"/>
      <c r="BG17" s="7"/>
      <c r="BH17" s="46">
        <f>IF(OR($G$4="MEDIA",$G$4="BASICA - TERCER CICLO"),ROUND(((BE17*$BE$11)+(BF17*$BF$11)+(BG17*$BG$11)*100)/30%,2),ROUND(((BE17*$BE$11)+(BF17*$BF$11)+(BG17*$BG$11)*100)/30%,2))</f>
        <v>0</v>
      </c>
      <c r="BI17" s="7"/>
      <c r="BJ17" s="14">
        <f>IF(OR($G$4="MEDIA",$G$4="BASICA - TERCER CICLO"),ROUND((BI17*$BI$11),2),ROUND((BI17*$BI$11),0))</f>
        <v>0</v>
      </c>
      <c r="BK17" s="47">
        <f>ROUND((AX17+BD17+BH17)/3,1)</f>
        <v>0</v>
      </c>
      <c r="BL17" s="7"/>
      <c r="BM17" s="7"/>
      <c r="BN17" s="7"/>
      <c r="BO17" s="7"/>
      <c r="BP17" s="7"/>
      <c r="BQ17" s="13">
        <f>IF(OR($G$4="MEDIA",$G$4="BASICA - TERCER CICLO"),ROUND(((BL17*$BL$11)+(BM17*$BM$11)+(BN17*$BN$11)+(BO17*$BO$11)+(BP17*$BP$11)*100)/35%,2),ROUND(((BL17*$BL$11)+(BM17*$BM$11)+(BN17*$BN$11)+(BO17*$BO$11)+(BP17*$BP$11)*100)/35%,2))</f>
        <v>0</v>
      </c>
      <c r="BR17" s="7"/>
      <c r="BS17" s="7"/>
      <c r="BT17" s="7"/>
      <c r="BU17" s="7"/>
      <c r="BV17" s="7"/>
      <c r="BW17" s="13">
        <f>IF(OR($G$4="MEDIA",$G$4="BASICA - TERCER CICLO"),ROUND(((BR17*$BR$11)+(BS17*$BS$11)+(BT17*$BT$11)+(BU17*$BU$11)+(BV17*$BV$11)*100)/35%,2),ROUND(((BR17*$BR$11)+(BS17*$BS$11)+(BT17*$BT$11)+(BU17*$BU$11)+(BV17*$BP$11)*100)/35%,2))</f>
        <v>0</v>
      </c>
      <c r="BX17" s="7"/>
      <c r="BY17" s="7"/>
      <c r="BZ17" s="7"/>
      <c r="CA17" s="13">
        <f>IF(OR($G$4="MEDIA",$G$4="BASICA - TERCER CICLO"),ROUND(((BX17*$BX$11)+(BY17*$BY$11)+(BZ17*$BZ$11)*100)/30%,2),ROUND(((BX17*$BX$11)+(BY17*$BY$11)+(BZ17*$BZ$11)*100)/30%,2))</f>
        <v>0</v>
      </c>
      <c r="CB17" s="7"/>
      <c r="CC17" s="14">
        <f>IF(OR($G$4="MEDIA",$G$4="BASICA - TERCER CICLO"),ROUND((CB17*$BI$11),2),ROUND((CB17*$BI$11),0))</f>
        <v>0</v>
      </c>
      <c r="CD17" s="28">
        <f>IF(OR($G$4="MEDIA",$G$4="BASICA - TERCER CICLO"),ROUND((BQ17+BW17+CA17+CC17),1),IF($G$4="BASICA",ROUND((BQ17+BW17+CA17+CC17),0),ROUND((BQ17+BW17+CA17+CC17),1)))</f>
        <v>0</v>
      </c>
      <c r="CE17" s="28">
        <f>IF($G$4 = "MEDIA",ROUND(((Y17+AR17+BK17+CD17)/4),0),ROUND(((Y17+AR17+BK17)/3),0))</f>
        <v>0</v>
      </c>
      <c r="CF17" s="20"/>
      <c r="CG17" s="28">
        <f>IF(AND(CE17&lt;5,$G$4="BASICA"),ROUND((CE17+CF17)/2,0),IF(AND(CE17&lt;6,$G$4="MEDIA"),ROUND((CE17+CF17)/2,0),CE17))</f>
        <v>0</v>
      </c>
      <c r="CH17" s="17" t="str">
        <f>IF($G$4="MEDIA",IF(CG17&gt;=6,"Aprobado","Reprobado"),IF(CG17&gt;=5,"Aprobado","Reprobado"))</f>
        <v>Reprobado</v>
      </c>
    </row>
    <row r="18" spans="1:86" customHeight="1" ht="20.25">
      <c r="A18" s="41">
        <v>6</v>
      </c>
      <c r="B18" s="3">
        <v>10282512</v>
      </c>
      <c r="C18" s="3">
        <v>4386</v>
      </c>
      <c r="D18" s="3">
        <v>26994</v>
      </c>
      <c r="E18" s="3" t="s">
        <v>43</v>
      </c>
      <c r="F18" s="42" t="s">
        <v>37</v>
      </c>
      <c r="G18" s="32"/>
      <c r="H18" s="12"/>
      <c r="I18" s="12"/>
      <c r="J18" s="12"/>
      <c r="K18" s="12"/>
      <c r="L18" s="46">
        <f>IF(OR($G$4="MEDIA",$G$4="BASICA - TERCER CICLO"),ROUND(((G18*$G$11)+(H18*$H$11)+(I18*$I$11)+(J18*$J$11)+(K18*$K$11)*100)/35%,2),ROUND((G18*$G$11)+(H18*$H$11)+(I18*$I$11)+(J18*$J$11)+(K18*$K$11),2))</f>
        <v>0</v>
      </c>
      <c r="M18" s="12"/>
      <c r="N18" s="12"/>
      <c r="O18" s="12"/>
      <c r="P18" s="12"/>
      <c r="Q18" s="12"/>
      <c r="R18" s="46">
        <f>IF(OR($G$4="MEDIA",$G$4="BASICA - TERCER CICLO"),ROUND(((M18*$M$11)+(N18*$N$11)+(O18*$O$11)+(P18*$P$11)+(Q18*$Q$11)*100)/35%,2),ROUND((M18*$M$11)+(N18*$N$11)+(O18*$O$11)+(P18*$P$11)+(Q18*$Q$11),2))</f>
        <v>0</v>
      </c>
      <c r="S18" s="12"/>
      <c r="T18" s="12"/>
      <c r="U18" s="12"/>
      <c r="V18" s="13">
        <f>IF(OR($G$4="MEDIA",$G$4="BASICA - TERCER CICLO"),ROUND(((S18*$S$11)+(T18*$T$11)+(U18*$U$11)*100)/30%,2),ROUND(((S18*$S$11)+(T18*$T$11)+(U18*$U$11)*100)/30%,2))</f>
        <v>0</v>
      </c>
      <c r="W18" s="12"/>
      <c r="X18" s="14">
        <f>IF(OR($G$4="MEDIA",$G$4="BASICA - TERCER CICLO"),ROUND((W18*$W$11),2),ROUND((W18*$W$11),0))</f>
        <v>0</v>
      </c>
      <c r="Y18" s="47">
        <f>ROUND((L18+R18+V18)/3,1)</f>
        <v>0</v>
      </c>
      <c r="Z18" s="12"/>
      <c r="AA18" s="12"/>
      <c r="AB18" s="12"/>
      <c r="AC18" s="12"/>
      <c r="AD18" s="12"/>
      <c r="AE18" s="46">
        <f>IF(OR($G$4="MEDIA",$G$4="BASICA - TERCER CICLO"),ROUND(((Z18*$Z$11)+(AA18*$AA$11)+(AB18*$AB$11)+(AC18*$AC$11)+(AD18*$AD$11)*100)/35%,2),ROUND((Z18*$Z$11)+(AA18*$AA$11)+(AB18*$AB$11)+(AC18*$AC$11)+(AD18*$AD$11),2))</f>
        <v>0</v>
      </c>
      <c r="AF18" s="12"/>
      <c r="AG18" s="12"/>
      <c r="AH18" s="12"/>
      <c r="AI18" s="12"/>
      <c r="AJ18" s="12"/>
      <c r="AK18" s="46">
        <f>IF(OR($G$4="MEDIA",$G$4="BASICA - TERCER CICLO"),ROUND(((AF18*$AF$11)+(AG18*$AG$11)+(AH18*$AH$11)+(AI18*$AI$11)+(AJ18*$AJ$11)*100)/35%,2),ROUND((AF18*$AF$11)+(AG18*$AG$11)+(AH18*$AH$11)+(AI18*$AI$11)+(AJ18*$AJ$11),2))</f>
        <v>0</v>
      </c>
      <c r="AL18" s="12"/>
      <c r="AM18" s="12"/>
      <c r="AN18" s="12"/>
      <c r="AO18" s="46">
        <f>IF(OR($G$4="MEDIA",$G$4="BASICA - TERCER CICLO"),ROUND(((AL18*$AL$11)+(AM18*$AM$11)+(AN18*$AN$11)*100)/30%,2),ROUND(((AL18*$AL$11)+(AM18*$AM$11)+(AN18*$AN$11)*100)/30%,2))</f>
        <v>0</v>
      </c>
      <c r="AP18" s="12"/>
      <c r="AQ18" s="14">
        <f>IF(OR($G$4="MEDIA",$G$4="BASICA - TERCER CICLO"),ROUND((AP18*$AP$11),2),ROUND((AP18*$AP$11),0))</f>
        <v>0</v>
      </c>
      <c r="AR18" s="47">
        <f>ROUND((AE18+AK18+AO18)/3,1)</f>
        <v>0</v>
      </c>
      <c r="AS18" s="12"/>
      <c r="AT18" s="12"/>
      <c r="AU18" s="12"/>
      <c r="AV18" s="12"/>
      <c r="AW18" s="12"/>
      <c r="AX18" s="46">
        <f>IF(OR($G$4="MEDIA",$G$4="BASICA - TERCER CICLO"),ROUND(((AS18*$AS$11)+(AT18*$AT$11)+(AU18*$AU$11)+(AV18*$AV$11)+(AW18*$AW$11)*100)/35%,2),ROUND((AS18*$AS$11)+(AT18*$AT$11)+(AU18*$AU$11)+(AV18*$AV$11)+(AW18*$AW$11),2))</f>
        <v>0</v>
      </c>
      <c r="AY18" s="12"/>
      <c r="AZ18" s="12"/>
      <c r="BA18" s="12"/>
      <c r="BB18" s="12"/>
      <c r="BC18" s="12"/>
      <c r="BD18" s="46">
        <f>IF(OR($G$4="MEDIA",$G$4="BASICA - TERCER CICLO"),ROUND(((AY18*$AY$11)+(AZ18*$AZ$11)+(BA18*$BA$11)+(BB18*$BB$11)+(BC18*$BC$11)*100)/35%,2),ROUND((AY18*$AY$11)+(AZ18*$AZ$11)+(BA18*$BA$11)+(BB18*$BB$11)+(BC18*$BC$11),2))</f>
        <v>0</v>
      </c>
      <c r="BE18" s="12"/>
      <c r="BF18" s="12"/>
      <c r="BG18" s="12"/>
      <c r="BH18" s="46">
        <f>IF(OR($G$4="MEDIA",$G$4="BASICA - TERCER CICLO"),ROUND(((BE18*$BE$11)+(BF18*$BF$11)+(BG18*$BG$11)*100)/30%,2),ROUND(((BE18*$BE$11)+(BF18*$BF$11)+(BG18*$BG$11)*100)/30%,2))</f>
        <v>0</v>
      </c>
      <c r="BI18" s="12"/>
      <c r="BJ18" s="14">
        <f>IF(OR($G$4="MEDIA",$G$4="BASICA - TERCER CICLO"),ROUND((BI18*$BI$11),2),ROUND((BI18*$BI$11),0))</f>
        <v>0</v>
      </c>
      <c r="BK18" s="47">
        <f>ROUND((AX18+BD18+BH18)/3,1)</f>
        <v>0</v>
      </c>
      <c r="BL18" s="12"/>
      <c r="BM18" s="12"/>
      <c r="BN18" s="12"/>
      <c r="BO18" s="12"/>
      <c r="BP18" s="12"/>
      <c r="BQ18" s="13">
        <f>IF(OR($G$4="MEDIA",$G$4="BASICA - TERCER CICLO"),ROUND(((BL18*$BL$11)+(BM18*$BM$11)+(BN18*$BN$11)+(BO18*$BO$11)+(BP18*$BP$11)*100)/35%,2),ROUND(((BL18*$BL$11)+(BM18*$BM$11)+(BN18*$BN$11)+(BO18*$BO$11)+(BP18*$BP$11)*100)/35%,2))</f>
        <v>0</v>
      </c>
      <c r="BR18" s="12"/>
      <c r="BS18" s="12"/>
      <c r="BT18" s="12"/>
      <c r="BU18" s="12"/>
      <c r="BV18" s="12"/>
      <c r="BW18" s="13">
        <f>IF(OR($G$4="MEDIA",$G$4="BASICA - TERCER CICLO"),ROUND(((BR18*$BR$11)+(BS18*$BS$11)+(BT18*$BT$11)+(BU18*$BU$11)+(BV18*$BV$11)*100)/35%,2),ROUND(((BR18*$BR$11)+(BS18*$BS$11)+(BT18*$BT$11)+(BU18*$BU$11)+(BV18*$BP$11)*100)/35%,2))</f>
        <v>0</v>
      </c>
      <c r="BX18" s="12"/>
      <c r="BY18" s="12"/>
      <c r="BZ18" s="12"/>
      <c r="CA18" s="13">
        <f>IF(OR($G$4="MEDIA",$G$4="BASICA - TERCER CICLO"),ROUND(((BX18*$BX$11)+(BY18*$BY$11)+(BZ18*$BZ$11)*100)/30%,2),ROUND(((BX18*$BX$11)+(BY18*$BY$11)+(BZ18*$BZ$11)*100)/30%,2))</f>
        <v>0</v>
      </c>
      <c r="CB18" s="12"/>
      <c r="CC18" s="14">
        <f>IF(OR($G$4="MEDIA",$G$4="BASICA - TERCER CICLO"),ROUND((CB18*$BI$11),2),ROUND((CB18*$BI$11),0))</f>
        <v>0</v>
      </c>
      <c r="CD18" s="28">
        <f>IF(OR($G$4="MEDIA",$G$4="BASICA - TERCER CICLO"),ROUND((BQ18+BW18+CA18+CC18),1),IF($G$4="BASICA",ROUND((BQ18+BW18+CA18+CC18),0),ROUND((BQ18+BW18+CA18+CC18),1)))</f>
        <v>0</v>
      </c>
      <c r="CE18" s="28">
        <f>IF($G$4 = "MEDIA",ROUND(((Y18+AR18+BK18+CD18)/4),0),ROUND(((Y18+AR18+BK18)/3),0))</f>
        <v>0</v>
      </c>
      <c r="CF18" s="21"/>
      <c r="CG18" s="28">
        <f>IF(AND(CE18&lt;5,$G$4="BASICA"),ROUND((CE18+CF18)/2,0),IF(AND(CE18&lt;6,$G$4="MEDIA"),ROUND((CE18+CF18)/2,0),CE18))</f>
        <v>0</v>
      </c>
      <c r="CH18" s="16" t="str">
        <f>IF($G$4="MEDIA",IF(CG18&gt;=6,"Aprobado","Reprobado"),IF(CG18&gt;=5,"Aprobado","Reprobado"))</f>
        <v>Reprobado</v>
      </c>
    </row>
    <row r="19" spans="1:86" customHeight="1" ht="20.25">
      <c r="A19" s="39">
        <v>7</v>
      </c>
      <c r="B19" s="2">
        <v>10112477</v>
      </c>
      <c r="C19" s="2">
        <v>5167</v>
      </c>
      <c r="D19" s="2">
        <v>26953</v>
      </c>
      <c r="E19" s="2" t="s">
        <v>44</v>
      </c>
      <c r="F19" s="40" t="s">
        <v>37</v>
      </c>
      <c r="G19" s="31"/>
      <c r="H19" s="7"/>
      <c r="I19" s="7"/>
      <c r="J19" s="7"/>
      <c r="K19" s="7"/>
      <c r="L19" s="46">
        <f>IF(OR($G$4="MEDIA",$G$4="BASICA - TERCER CICLO"),ROUND(((G19*$G$11)+(H19*$H$11)+(I19*$I$11)+(J19*$J$11)+(K19*$K$11)*100)/35%,2),ROUND((G19*$G$11)+(H19*$H$11)+(I19*$I$11)+(J19*$J$11)+(K19*$K$11),2))</f>
        <v>0</v>
      </c>
      <c r="M19" s="7"/>
      <c r="N19" s="7"/>
      <c r="O19" s="7"/>
      <c r="P19" s="7"/>
      <c r="Q19" s="7"/>
      <c r="R19" s="46">
        <f>IF(OR($G$4="MEDIA",$G$4="BASICA - TERCER CICLO"),ROUND(((M19*$M$11)+(N19*$N$11)+(O19*$O$11)+(P19*$P$11)+(Q19*$Q$11)*100)/35%,2),ROUND((M19*$M$11)+(N19*$N$11)+(O19*$O$11)+(P19*$P$11)+(Q19*$Q$11),2))</f>
        <v>0</v>
      </c>
      <c r="S19" s="7"/>
      <c r="T19" s="7"/>
      <c r="U19" s="7"/>
      <c r="V19" s="13">
        <f>IF(OR($G$4="MEDIA",$G$4="BASICA - TERCER CICLO"),ROUND(((S19*$S$11)+(T19*$T$11)+(U19*$U$11)*100)/30%,2),ROUND(((S19*$S$11)+(T19*$T$11)+(U19*$U$11)*100)/30%,2))</f>
        <v>0</v>
      </c>
      <c r="W19" s="7"/>
      <c r="X19" s="14">
        <f>IF(OR($G$4="MEDIA",$G$4="BASICA - TERCER CICLO"),ROUND((W19*$W$11),2),ROUND((W19*$W$11),0))</f>
        <v>0</v>
      </c>
      <c r="Y19" s="47">
        <f>ROUND((L19+R19+V19)/3,1)</f>
        <v>0</v>
      </c>
      <c r="Z19" s="7"/>
      <c r="AA19" s="7"/>
      <c r="AB19" s="7"/>
      <c r="AC19" s="7"/>
      <c r="AD19" s="7"/>
      <c r="AE19" s="46">
        <f>IF(OR($G$4="MEDIA",$G$4="BASICA - TERCER CICLO"),ROUND(((Z19*$Z$11)+(AA19*$AA$11)+(AB19*$AB$11)+(AC19*$AC$11)+(AD19*$AD$11)*100)/35%,2),ROUND((Z19*$Z$11)+(AA19*$AA$11)+(AB19*$AB$11)+(AC19*$AC$11)+(AD19*$AD$11),2))</f>
        <v>0</v>
      </c>
      <c r="AF19" s="7"/>
      <c r="AG19" s="7"/>
      <c r="AH19" s="7"/>
      <c r="AI19" s="7"/>
      <c r="AJ19" s="7"/>
      <c r="AK19" s="46">
        <f>IF(OR($G$4="MEDIA",$G$4="BASICA - TERCER CICLO"),ROUND(((AF19*$AF$11)+(AG19*$AG$11)+(AH19*$AH$11)+(AI19*$AI$11)+(AJ19*$AJ$11)*100)/35%,2),ROUND((AF19*$AF$11)+(AG19*$AG$11)+(AH19*$AH$11)+(AI19*$AI$11)+(AJ19*$AJ$11),2))</f>
        <v>0</v>
      </c>
      <c r="AL19" s="7"/>
      <c r="AM19" s="7"/>
      <c r="AN19" s="7"/>
      <c r="AO19" s="46">
        <f>IF(OR($G$4="MEDIA",$G$4="BASICA - TERCER CICLO"),ROUND(((AL19*$AL$11)+(AM19*$AM$11)+(AN19*$AN$11)*100)/30%,2),ROUND(((AL19*$AL$11)+(AM19*$AM$11)+(AN19*$AN$11)*100)/30%,2))</f>
        <v>0</v>
      </c>
      <c r="AP19" s="7"/>
      <c r="AQ19" s="14">
        <f>IF(OR($G$4="MEDIA",$G$4="BASICA - TERCER CICLO"),ROUND((AP19*$AP$11),2),ROUND((AP19*$AP$11),0))</f>
        <v>0</v>
      </c>
      <c r="AR19" s="47">
        <f>ROUND((AE19+AK19+AO19)/3,1)</f>
        <v>0</v>
      </c>
      <c r="AS19" s="7"/>
      <c r="AT19" s="7"/>
      <c r="AU19" s="7"/>
      <c r="AV19" s="7"/>
      <c r="AW19" s="7"/>
      <c r="AX19" s="46">
        <f>IF(OR($G$4="MEDIA",$G$4="BASICA - TERCER CICLO"),ROUND(((AS19*$AS$11)+(AT19*$AT$11)+(AU19*$AU$11)+(AV19*$AV$11)+(AW19*$AW$11)*100)/35%,2),ROUND((AS19*$AS$11)+(AT19*$AT$11)+(AU19*$AU$11)+(AV19*$AV$11)+(AW19*$AW$11),2))</f>
        <v>0</v>
      </c>
      <c r="AY19" s="7"/>
      <c r="AZ19" s="7"/>
      <c r="BA19" s="7"/>
      <c r="BB19" s="7"/>
      <c r="BC19" s="7"/>
      <c r="BD19" s="46">
        <f>IF(OR($G$4="MEDIA",$G$4="BASICA - TERCER CICLO"),ROUND(((AY19*$AY$11)+(AZ19*$AZ$11)+(BA19*$BA$11)+(BB19*$BB$11)+(BC19*$BC$11)*100)/35%,2),ROUND((AY19*$AY$11)+(AZ19*$AZ$11)+(BA19*$BA$11)+(BB19*$BB$11)+(BC19*$BC$11),2))</f>
        <v>0</v>
      </c>
      <c r="BE19" s="7"/>
      <c r="BF19" s="7"/>
      <c r="BG19" s="7"/>
      <c r="BH19" s="46">
        <f>IF(OR($G$4="MEDIA",$G$4="BASICA - TERCER CICLO"),ROUND(((BE19*$BE$11)+(BF19*$BF$11)+(BG19*$BG$11)*100)/30%,2),ROUND(((BE19*$BE$11)+(BF19*$BF$11)+(BG19*$BG$11)*100)/30%,2))</f>
        <v>0</v>
      </c>
      <c r="BI19" s="7"/>
      <c r="BJ19" s="14">
        <f>IF(OR($G$4="MEDIA",$G$4="BASICA - TERCER CICLO"),ROUND((BI19*$BI$11),2),ROUND((BI19*$BI$11),0))</f>
        <v>0</v>
      </c>
      <c r="BK19" s="47">
        <f>ROUND((AX19+BD19+BH19)/3,1)</f>
        <v>0</v>
      </c>
      <c r="BL19" s="7"/>
      <c r="BM19" s="7"/>
      <c r="BN19" s="7"/>
      <c r="BO19" s="7"/>
      <c r="BP19" s="7"/>
      <c r="BQ19" s="13">
        <f>IF(OR($G$4="MEDIA",$G$4="BASICA - TERCER CICLO"),ROUND(((BL19*$BL$11)+(BM19*$BM$11)+(BN19*$BN$11)+(BO19*$BO$11)+(BP19*$BP$11)*100)/35%,2),ROUND(((BL19*$BL$11)+(BM19*$BM$11)+(BN19*$BN$11)+(BO19*$BO$11)+(BP19*$BP$11)*100)/35%,2))</f>
        <v>0</v>
      </c>
      <c r="BR19" s="7"/>
      <c r="BS19" s="7"/>
      <c r="BT19" s="7"/>
      <c r="BU19" s="7"/>
      <c r="BV19" s="7"/>
      <c r="BW19" s="13">
        <f>IF(OR($G$4="MEDIA",$G$4="BASICA - TERCER CICLO"),ROUND(((BR19*$BR$11)+(BS19*$BS$11)+(BT19*$BT$11)+(BU19*$BU$11)+(BV19*$BV$11)*100)/35%,2),ROUND(((BR19*$BR$11)+(BS19*$BS$11)+(BT19*$BT$11)+(BU19*$BU$11)+(BV19*$BP$11)*100)/35%,2))</f>
        <v>0</v>
      </c>
      <c r="BX19" s="7"/>
      <c r="BY19" s="7"/>
      <c r="BZ19" s="7"/>
      <c r="CA19" s="13">
        <f>IF(OR($G$4="MEDIA",$G$4="BASICA - TERCER CICLO"),ROUND(((BX19*$BX$11)+(BY19*$BY$11)+(BZ19*$BZ$11)*100)/30%,2),ROUND(((BX19*$BX$11)+(BY19*$BY$11)+(BZ19*$BZ$11)*100)/30%,2))</f>
        <v>0</v>
      </c>
      <c r="CB19" s="7"/>
      <c r="CC19" s="14">
        <f>IF(OR($G$4="MEDIA",$G$4="BASICA - TERCER CICLO"),ROUND((CB19*$BI$11),2),ROUND((CB19*$BI$11),0))</f>
        <v>0</v>
      </c>
      <c r="CD19" s="28">
        <f>IF(OR($G$4="MEDIA",$G$4="BASICA - TERCER CICLO"),ROUND((BQ19+BW19+CA19+CC19),1),IF($G$4="BASICA",ROUND((BQ19+BW19+CA19+CC19),0),ROUND((BQ19+BW19+CA19+CC19),1)))</f>
        <v>0</v>
      </c>
      <c r="CE19" s="28">
        <f>IF($G$4 = "MEDIA",ROUND(((Y19+AR19+BK19+CD19)/4),0),ROUND(((Y19+AR19+BK19)/3),0))</f>
        <v>0</v>
      </c>
      <c r="CF19" s="20"/>
      <c r="CG19" s="28">
        <f>IF(AND(CE19&lt;5,$G$4="BASICA"),ROUND((CE19+CF19)/2,0),IF(AND(CE19&lt;6,$G$4="MEDIA"),ROUND((CE19+CF19)/2,0),CE19))</f>
        <v>0</v>
      </c>
      <c r="CH19" s="17" t="str">
        <f>IF($G$4="MEDIA",IF(CG19&gt;=6,"Aprobado","Reprobado"),IF(CG19&gt;=5,"Aprobado","Reprobado"))</f>
        <v>Reprobado</v>
      </c>
    </row>
    <row r="20" spans="1:86" customHeight="1" ht="20.25">
      <c r="A20" s="41">
        <v>8</v>
      </c>
      <c r="B20" s="3">
        <v>10335756</v>
      </c>
      <c r="C20" s="3">
        <v>5074</v>
      </c>
      <c r="D20" s="3">
        <v>26954</v>
      </c>
      <c r="E20" s="3" t="s">
        <v>45</v>
      </c>
      <c r="F20" s="42" t="s">
        <v>37</v>
      </c>
      <c r="G20" s="32"/>
      <c r="H20" s="12"/>
      <c r="I20" s="12"/>
      <c r="J20" s="12"/>
      <c r="K20" s="12"/>
      <c r="L20" s="46">
        <f>IF(OR($G$4="MEDIA",$G$4="BASICA - TERCER CICLO"),ROUND(((G20*$G$11)+(H20*$H$11)+(I20*$I$11)+(J20*$J$11)+(K20*$K$11)*100)/35%,2),ROUND((G20*$G$11)+(H20*$H$11)+(I20*$I$11)+(J20*$J$11)+(K20*$K$11),2))</f>
        <v>0</v>
      </c>
      <c r="M20" s="12"/>
      <c r="N20" s="12"/>
      <c r="O20" s="12"/>
      <c r="P20" s="12"/>
      <c r="Q20" s="12"/>
      <c r="R20" s="46">
        <f>IF(OR($G$4="MEDIA",$G$4="BASICA - TERCER CICLO"),ROUND(((M20*$M$11)+(N20*$N$11)+(O20*$O$11)+(P20*$P$11)+(Q20*$Q$11)*100)/35%,2),ROUND((M20*$M$11)+(N20*$N$11)+(O20*$O$11)+(P20*$P$11)+(Q20*$Q$11),2))</f>
        <v>0</v>
      </c>
      <c r="S20" s="12"/>
      <c r="T20" s="12"/>
      <c r="U20" s="12"/>
      <c r="V20" s="13">
        <f>IF(OR($G$4="MEDIA",$G$4="BASICA - TERCER CICLO"),ROUND(((S20*$S$11)+(T20*$T$11)+(U20*$U$11)*100)/30%,2),ROUND(((S20*$S$11)+(T20*$T$11)+(U20*$U$11)*100)/30%,2))</f>
        <v>0</v>
      </c>
      <c r="W20" s="12"/>
      <c r="X20" s="14">
        <f>IF(OR($G$4="MEDIA",$G$4="BASICA - TERCER CICLO"),ROUND((W20*$W$11),2),ROUND((W20*$W$11),0))</f>
        <v>0</v>
      </c>
      <c r="Y20" s="47">
        <f>ROUND((L20+R20+V20)/3,1)</f>
        <v>0</v>
      </c>
      <c r="Z20" s="12"/>
      <c r="AA20" s="12"/>
      <c r="AB20" s="12"/>
      <c r="AC20" s="12"/>
      <c r="AD20" s="12"/>
      <c r="AE20" s="46">
        <f>IF(OR($G$4="MEDIA",$G$4="BASICA - TERCER CICLO"),ROUND(((Z20*$Z$11)+(AA20*$AA$11)+(AB20*$AB$11)+(AC20*$AC$11)+(AD20*$AD$11)*100)/35%,2),ROUND((Z20*$Z$11)+(AA20*$AA$11)+(AB20*$AB$11)+(AC20*$AC$11)+(AD20*$AD$11),2))</f>
        <v>0</v>
      </c>
      <c r="AF20" s="12"/>
      <c r="AG20" s="12"/>
      <c r="AH20" s="12"/>
      <c r="AI20" s="12"/>
      <c r="AJ20" s="12"/>
      <c r="AK20" s="46">
        <f>IF(OR($G$4="MEDIA",$G$4="BASICA - TERCER CICLO"),ROUND(((AF20*$AF$11)+(AG20*$AG$11)+(AH20*$AH$11)+(AI20*$AI$11)+(AJ20*$AJ$11)*100)/35%,2),ROUND((AF20*$AF$11)+(AG20*$AG$11)+(AH20*$AH$11)+(AI20*$AI$11)+(AJ20*$AJ$11),2))</f>
        <v>0</v>
      </c>
      <c r="AL20" s="12"/>
      <c r="AM20" s="12"/>
      <c r="AN20" s="12"/>
      <c r="AO20" s="46">
        <f>IF(OR($G$4="MEDIA",$G$4="BASICA - TERCER CICLO"),ROUND(((AL20*$AL$11)+(AM20*$AM$11)+(AN20*$AN$11)*100)/30%,2),ROUND(((AL20*$AL$11)+(AM20*$AM$11)+(AN20*$AN$11)*100)/30%,2))</f>
        <v>0</v>
      </c>
      <c r="AP20" s="12"/>
      <c r="AQ20" s="14">
        <f>IF(OR($G$4="MEDIA",$G$4="BASICA - TERCER CICLO"),ROUND((AP20*$AP$11),2),ROUND((AP20*$AP$11),0))</f>
        <v>0</v>
      </c>
      <c r="AR20" s="47">
        <f>ROUND((AE20+AK20+AO20)/3,1)</f>
        <v>0</v>
      </c>
      <c r="AS20" s="12"/>
      <c r="AT20" s="12"/>
      <c r="AU20" s="12"/>
      <c r="AV20" s="12"/>
      <c r="AW20" s="12"/>
      <c r="AX20" s="46">
        <f>IF(OR($G$4="MEDIA",$G$4="BASICA - TERCER CICLO"),ROUND(((AS20*$AS$11)+(AT20*$AT$11)+(AU20*$AU$11)+(AV20*$AV$11)+(AW20*$AW$11)*100)/35%,2),ROUND((AS20*$AS$11)+(AT20*$AT$11)+(AU20*$AU$11)+(AV20*$AV$11)+(AW20*$AW$11),2))</f>
        <v>0</v>
      </c>
      <c r="AY20" s="12"/>
      <c r="AZ20" s="12"/>
      <c r="BA20" s="12"/>
      <c r="BB20" s="12"/>
      <c r="BC20" s="12"/>
      <c r="BD20" s="46">
        <f>IF(OR($G$4="MEDIA",$G$4="BASICA - TERCER CICLO"),ROUND(((AY20*$AY$11)+(AZ20*$AZ$11)+(BA20*$BA$11)+(BB20*$BB$11)+(BC20*$BC$11)*100)/35%,2),ROUND((AY20*$AY$11)+(AZ20*$AZ$11)+(BA20*$BA$11)+(BB20*$BB$11)+(BC20*$BC$11),2))</f>
        <v>0</v>
      </c>
      <c r="BE20" s="12"/>
      <c r="BF20" s="12"/>
      <c r="BG20" s="12"/>
      <c r="BH20" s="46">
        <f>IF(OR($G$4="MEDIA",$G$4="BASICA - TERCER CICLO"),ROUND(((BE20*$BE$11)+(BF20*$BF$11)+(BG20*$BG$11)*100)/30%,2),ROUND(((BE20*$BE$11)+(BF20*$BF$11)+(BG20*$BG$11)*100)/30%,2))</f>
        <v>0</v>
      </c>
      <c r="BI20" s="12"/>
      <c r="BJ20" s="14">
        <f>IF(OR($G$4="MEDIA",$G$4="BASICA - TERCER CICLO"),ROUND((BI20*$BI$11),2),ROUND((BI20*$BI$11),0))</f>
        <v>0</v>
      </c>
      <c r="BK20" s="47">
        <f>ROUND((AX20+BD20+BH20)/3,1)</f>
        <v>0</v>
      </c>
      <c r="BL20" s="12"/>
      <c r="BM20" s="12"/>
      <c r="BN20" s="12"/>
      <c r="BO20" s="12"/>
      <c r="BP20" s="12"/>
      <c r="BQ20" s="13">
        <f>IF(OR($G$4="MEDIA",$G$4="BASICA - TERCER CICLO"),ROUND(((BL20*$BL$11)+(BM20*$BM$11)+(BN20*$BN$11)+(BO20*$BO$11)+(BP20*$BP$11)*100)/35%,2),ROUND(((BL20*$BL$11)+(BM20*$BM$11)+(BN20*$BN$11)+(BO20*$BO$11)+(BP20*$BP$11)*100)/35%,2))</f>
        <v>0</v>
      </c>
      <c r="BR20" s="12"/>
      <c r="BS20" s="12"/>
      <c r="BT20" s="12"/>
      <c r="BU20" s="12"/>
      <c r="BV20" s="12"/>
      <c r="BW20" s="13">
        <f>IF(OR($G$4="MEDIA",$G$4="BASICA - TERCER CICLO"),ROUND(((BR20*$BR$11)+(BS20*$BS$11)+(BT20*$BT$11)+(BU20*$BU$11)+(BV20*$BV$11)*100)/35%,2),ROUND(((BR20*$BR$11)+(BS20*$BS$11)+(BT20*$BT$11)+(BU20*$BU$11)+(BV20*$BP$11)*100)/35%,2))</f>
        <v>0</v>
      </c>
      <c r="BX20" s="12"/>
      <c r="BY20" s="12"/>
      <c r="BZ20" s="12"/>
      <c r="CA20" s="13">
        <f>IF(OR($G$4="MEDIA",$G$4="BASICA - TERCER CICLO"),ROUND(((BX20*$BX$11)+(BY20*$BY$11)+(BZ20*$BZ$11)*100)/30%,2),ROUND(((BX20*$BX$11)+(BY20*$BY$11)+(BZ20*$BZ$11)*100)/30%,2))</f>
        <v>0</v>
      </c>
      <c r="CB20" s="12"/>
      <c r="CC20" s="14">
        <f>IF(OR($G$4="MEDIA",$G$4="BASICA - TERCER CICLO"),ROUND((CB20*$BI$11),2),ROUND((CB20*$BI$11),0))</f>
        <v>0</v>
      </c>
      <c r="CD20" s="28">
        <f>IF(OR($G$4="MEDIA",$G$4="BASICA - TERCER CICLO"),ROUND((BQ20+BW20+CA20+CC20),1),IF($G$4="BASICA",ROUND((BQ20+BW20+CA20+CC20),0),ROUND((BQ20+BW20+CA20+CC20),1)))</f>
        <v>0</v>
      </c>
      <c r="CE20" s="28">
        <f>IF($G$4 = "MEDIA",ROUND(((Y20+AR20+BK20+CD20)/4),0),ROUND(((Y20+AR20+BK20)/3),0))</f>
        <v>0</v>
      </c>
      <c r="CF20" s="21"/>
      <c r="CG20" s="28">
        <f>IF(AND(CE20&lt;5,$G$4="BASICA"),ROUND((CE20+CF20)/2,0),IF(AND(CE20&lt;6,$G$4="MEDIA"),ROUND((CE20+CF20)/2,0),CE20))</f>
        <v>0</v>
      </c>
      <c r="CH20" s="16" t="str">
        <f>IF($G$4="MEDIA",IF(CG20&gt;=6,"Aprobado","Reprobado"),IF(CG20&gt;=5,"Aprobado","Reprobado"))</f>
        <v>Reprobado</v>
      </c>
    </row>
    <row r="21" spans="1:86" customHeight="1" ht="20.25">
      <c r="A21" s="39">
        <v>9</v>
      </c>
      <c r="B21" s="2">
        <v>10282550</v>
      </c>
      <c r="C21" s="2">
        <v>4388</v>
      </c>
      <c r="D21" s="2">
        <v>26955</v>
      </c>
      <c r="E21" s="2" t="s">
        <v>46</v>
      </c>
      <c r="F21" s="40" t="s">
        <v>39</v>
      </c>
      <c r="G21" s="31"/>
      <c r="H21" s="7"/>
      <c r="I21" s="7"/>
      <c r="J21" s="7"/>
      <c r="K21" s="7"/>
      <c r="L21" s="46">
        <f>IF(OR($G$4="MEDIA",$G$4="BASICA - TERCER CICLO"),ROUND(((G21*$G$11)+(H21*$H$11)+(I21*$I$11)+(J21*$J$11)+(K21*$K$11)*100)/35%,2),ROUND((G21*$G$11)+(H21*$H$11)+(I21*$I$11)+(J21*$J$11)+(K21*$K$11),2))</f>
        <v>0</v>
      </c>
      <c r="M21" s="7"/>
      <c r="N21" s="7"/>
      <c r="O21" s="7"/>
      <c r="P21" s="7"/>
      <c r="Q21" s="7"/>
      <c r="R21" s="46">
        <f>IF(OR($G$4="MEDIA",$G$4="BASICA - TERCER CICLO"),ROUND(((M21*$M$11)+(N21*$N$11)+(O21*$O$11)+(P21*$P$11)+(Q21*$Q$11)*100)/35%,2),ROUND((M21*$M$11)+(N21*$N$11)+(O21*$O$11)+(P21*$P$11)+(Q21*$Q$11),2))</f>
        <v>0</v>
      </c>
      <c r="S21" s="7"/>
      <c r="T21" s="7"/>
      <c r="U21" s="7"/>
      <c r="V21" s="13">
        <f>IF(OR($G$4="MEDIA",$G$4="BASICA - TERCER CICLO"),ROUND(((S21*$S$11)+(T21*$T$11)+(U21*$U$11)*100)/30%,2),ROUND(((S21*$S$11)+(T21*$T$11)+(U21*$U$11)*100)/30%,2))</f>
        <v>0</v>
      </c>
      <c r="W21" s="7"/>
      <c r="X21" s="14">
        <f>IF(OR($G$4="MEDIA",$G$4="BASICA - TERCER CICLO"),ROUND((W21*$W$11),2),ROUND((W21*$W$11),0))</f>
        <v>0</v>
      </c>
      <c r="Y21" s="47">
        <f>ROUND((L21+R21+V21)/3,1)</f>
        <v>0</v>
      </c>
      <c r="Z21" s="7"/>
      <c r="AA21" s="7"/>
      <c r="AB21" s="7"/>
      <c r="AC21" s="7"/>
      <c r="AD21" s="7"/>
      <c r="AE21" s="46">
        <f>IF(OR($G$4="MEDIA",$G$4="BASICA - TERCER CICLO"),ROUND(((Z21*$Z$11)+(AA21*$AA$11)+(AB21*$AB$11)+(AC21*$AC$11)+(AD21*$AD$11)*100)/35%,2),ROUND((Z21*$Z$11)+(AA21*$AA$11)+(AB21*$AB$11)+(AC21*$AC$11)+(AD21*$AD$11),2))</f>
        <v>0</v>
      </c>
      <c r="AF21" s="7"/>
      <c r="AG21" s="7"/>
      <c r="AH21" s="7"/>
      <c r="AI21" s="7"/>
      <c r="AJ21" s="7"/>
      <c r="AK21" s="46">
        <f>IF(OR($G$4="MEDIA",$G$4="BASICA - TERCER CICLO"),ROUND(((AF21*$AF$11)+(AG21*$AG$11)+(AH21*$AH$11)+(AI21*$AI$11)+(AJ21*$AJ$11)*100)/35%,2),ROUND((AF21*$AF$11)+(AG21*$AG$11)+(AH21*$AH$11)+(AI21*$AI$11)+(AJ21*$AJ$11),2))</f>
        <v>0</v>
      </c>
      <c r="AL21" s="7"/>
      <c r="AM21" s="7"/>
      <c r="AN21" s="7"/>
      <c r="AO21" s="46">
        <f>IF(OR($G$4="MEDIA",$G$4="BASICA - TERCER CICLO"),ROUND(((AL21*$AL$11)+(AM21*$AM$11)+(AN21*$AN$11)*100)/30%,2),ROUND(((AL21*$AL$11)+(AM21*$AM$11)+(AN21*$AN$11)*100)/30%,2))</f>
        <v>0</v>
      </c>
      <c r="AP21" s="7"/>
      <c r="AQ21" s="14">
        <f>IF(OR($G$4="MEDIA",$G$4="BASICA - TERCER CICLO"),ROUND((AP21*$AP$11),2),ROUND((AP21*$AP$11),0))</f>
        <v>0</v>
      </c>
      <c r="AR21" s="47">
        <f>ROUND((AE21+AK21+AO21)/3,1)</f>
        <v>0</v>
      </c>
      <c r="AS21" s="7"/>
      <c r="AT21" s="7"/>
      <c r="AU21" s="7"/>
      <c r="AV21" s="7"/>
      <c r="AW21" s="7"/>
      <c r="AX21" s="46">
        <f>IF(OR($G$4="MEDIA",$G$4="BASICA - TERCER CICLO"),ROUND(((AS21*$AS$11)+(AT21*$AT$11)+(AU21*$AU$11)+(AV21*$AV$11)+(AW21*$AW$11)*100)/35%,2),ROUND((AS21*$AS$11)+(AT21*$AT$11)+(AU21*$AU$11)+(AV21*$AV$11)+(AW21*$AW$11),2))</f>
        <v>0</v>
      </c>
      <c r="AY21" s="7"/>
      <c r="AZ21" s="7"/>
      <c r="BA21" s="7"/>
      <c r="BB21" s="7"/>
      <c r="BC21" s="7"/>
      <c r="BD21" s="46">
        <f>IF(OR($G$4="MEDIA",$G$4="BASICA - TERCER CICLO"),ROUND(((AY21*$AY$11)+(AZ21*$AZ$11)+(BA21*$BA$11)+(BB21*$BB$11)+(BC21*$BC$11)*100)/35%,2),ROUND((AY21*$AY$11)+(AZ21*$AZ$11)+(BA21*$BA$11)+(BB21*$BB$11)+(BC21*$BC$11),2))</f>
        <v>0</v>
      </c>
      <c r="BE21" s="7"/>
      <c r="BF21" s="7"/>
      <c r="BG21" s="7"/>
      <c r="BH21" s="46">
        <f>IF(OR($G$4="MEDIA",$G$4="BASICA - TERCER CICLO"),ROUND(((BE21*$BE$11)+(BF21*$BF$11)+(BG21*$BG$11)*100)/30%,2),ROUND(((BE21*$BE$11)+(BF21*$BF$11)+(BG21*$BG$11)*100)/30%,2))</f>
        <v>0</v>
      </c>
      <c r="BI21" s="7"/>
      <c r="BJ21" s="14">
        <f>IF(OR($G$4="MEDIA",$G$4="BASICA - TERCER CICLO"),ROUND((BI21*$BI$11),2),ROUND((BI21*$BI$11),0))</f>
        <v>0</v>
      </c>
      <c r="BK21" s="47">
        <f>ROUND((AX21+BD21+BH21)/3,1)</f>
        <v>0</v>
      </c>
      <c r="BL21" s="7"/>
      <c r="BM21" s="7"/>
      <c r="BN21" s="7"/>
      <c r="BO21" s="7"/>
      <c r="BP21" s="7"/>
      <c r="BQ21" s="13">
        <f>IF(OR($G$4="MEDIA",$G$4="BASICA - TERCER CICLO"),ROUND(((BL21*$BL$11)+(BM21*$BM$11)+(BN21*$BN$11)+(BO21*$BO$11)+(BP21*$BP$11)*100)/35%,2),ROUND(((BL21*$BL$11)+(BM21*$BM$11)+(BN21*$BN$11)+(BO21*$BO$11)+(BP21*$BP$11)*100)/35%,2))</f>
        <v>0</v>
      </c>
      <c r="BR21" s="7"/>
      <c r="BS21" s="7"/>
      <c r="BT21" s="7"/>
      <c r="BU21" s="7"/>
      <c r="BV21" s="7"/>
      <c r="BW21" s="13">
        <f>IF(OR($G$4="MEDIA",$G$4="BASICA - TERCER CICLO"),ROUND(((BR21*$BR$11)+(BS21*$BS$11)+(BT21*$BT$11)+(BU21*$BU$11)+(BV21*$BV$11)*100)/35%,2),ROUND(((BR21*$BR$11)+(BS21*$BS$11)+(BT21*$BT$11)+(BU21*$BU$11)+(BV21*$BP$11)*100)/35%,2))</f>
        <v>0</v>
      </c>
      <c r="BX21" s="7"/>
      <c r="BY21" s="7"/>
      <c r="BZ21" s="7"/>
      <c r="CA21" s="13">
        <f>IF(OR($G$4="MEDIA",$G$4="BASICA - TERCER CICLO"),ROUND(((BX21*$BX$11)+(BY21*$BY$11)+(BZ21*$BZ$11)*100)/30%,2),ROUND(((BX21*$BX$11)+(BY21*$BY$11)+(BZ21*$BZ$11)*100)/30%,2))</f>
        <v>0</v>
      </c>
      <c r="CB21" s="7"/>
      <c r="CC21" s="14">
        <f>IF(OR($G$4="MEDIA",$G$4="BASICA - TERCER CICLO"),ROUND((CB21*$BI$11),2),ROUND((CB21*$BI$11),0))</f>
        <v>0</v>
      </c>
      <c r="CD21" s="28">
        <f>IF(OR($G$4="MEDIA",$G$4="BASICA - TERCER CICLO"),ROUND((BQ21+BW21+CA21+CC21),1),IF($G$4="BASICA",ROUND((BQ21+BW21+CA21+CC21),0),ROUND((BQ21+BW21+CA21+CC21),1)))</f>
        <v>0</v>
      </c>
      <c r="CE21" s="28">
        <f>IF($G$4 = "MEDIA",ROUND(((Y21+AR21+BK21+CD21)/4),0),ROUND(((Y21+AR21+BK21)/3),0))</f>
        <v>0</v>
      </c>
      <c r="CF21" s="20"/>
      <c r="CG21" s="28">
        <f>IF(AND(CE21&lt;5,$G$4="BASICA"),ROUND((CE21+CF21)/2,0),IF(AND(CE21&lt;6,$G$4="MEDIA"),ROUND((CE21+CF21)/2,0),CE21))</f>
        <v>0</v>
      </c>
      <c r="CH21" s="17" t="str">
        <f>IF($G$4="MEDIA",IF(CG21&gt;=6,"Aprobado","Reprobado"),IF(CG21&gt;=5,"Aprobado","Reprobado"))</f>
        <v>Reprobado</v>
      </c>
    </row>
    <row r="22" spans="1:86" customHeight="1" ht="20.25">
      <c r="A22" s="41">
        <v>10</v>
      </c>
      <c r="B22" s="3">
        <v>10282566</v>
      </c>
      <c r="C22" s="3">
        <v>4376</v>
      </c>
      <c r="D22" s="3">
        <v>26956</v>
      </c>
      <c r="E22" s="3" t="s">
        <v>47</v>
      </c>
      <c r="F22" s="42" t="s">
        <v>39</v>
      </c>
      <c r="G22" s="32"/>
      <c r="H22" s="12"/>
      <c r="I22" s="12"/>
      <c r="J22" s="12"/>
      <c r="K22" s="12"/>
      <c r="L22" s="46">
        <f>IF(OR($G$4="MEDIA",$G$4="BASICA - TERCER CICLO"),ROUND(((G22*$G$11)+(H22*$H$11)+(I22*$I$11)+(J22*$J$11)+(K22*$K$11)*100)/35%,2),ROUND((G22*$G$11)+(H22*$H$11)+(I22*$I$11)+(J22*$J$11)+(K22*$K$11),2))</f>
        <v>0</v>
      </c>
      <c r="M22" s="12"/>
      <c r="N22" s="12"/>
      <c r="O22" s="12"/>
      <c r="P22" s="12"/>
      <c r="Q22" s="12"/>
      <c r="R22" s="46">
        <f>IF(OR($G$4="MEDIA",$G$4="BASICA - TERCER CICLO"),ROUND(((M22*$M$11)+(N22*$N$11)+(O22*$O$11)+(P22*$P$11)+(Q22*$Q$11)*100)/35%,2),ROUND((M22*$M$11)+(N22*$N$11)+(O22*$O$11)+(P22*$P$11)+(Q22*$Q$11),2))</f>
        <v>0</v>
      </c>
      <c r="S22" s="12"/>
      <c r="T22" s="12"/>
      <c r="U22" s="12"/>
      <c r="V22" s="13">
        <f>IF(OR($G$4="MEDIA",$G$4="BASICA - TERCER CICLO"),ROUND(((S22*$S$11)+(T22*$T$11)+(U22*$U$11)*100)/30%,2),ROUND(((S22*$S$11)+(T22*$T$11)+(U22*$U$11)*100)/30%,2))</f>
        <v>0</v>
      </c>
      <c r="W22" s="12"/>
      <c r="X22" s="14">
        <f>IF(OR($G$4="MEDIA",$G$4="BASICA - TERCER CICLO"),ROUND((W22*$W$11),2),ROUND((W22*$W$11),0))</f>
        <v>0</v>
      </c>
      <c r="Y22" s="47">
        <f>ROUND((L22+R22+V22)/3,1)</f>
        <v>0</v>
      </c>
      <c r="Z22" s="12"/>
      <c r="AA22" s="12"/>
      <c r="AB22" s="12"/>
      <c r="AC22" s="12"/>
      <c r="AD22" s="12"/>
      <c r="AE22" s="46">
        <f>IF(OR($G$4="MEDIA",$G$4="BASICA - TERCER CICLO"),ROUND(((Z22*$Z$11)+(AA22*$AA$11)+(AB22*$AB$11)+(AC22*$AC$11)+(AD22*$AD$11)*100)/35%,2),ROUND((Z22*$Z$11)+(AA22*$AA$11)+(AB22*$AB$11)+(AC22*$AC$11)+(AD22*$AD$11),2))</f>
        <v>0</v>
      </c>
      <c r="AF22" s="12"/>
      <c r="AG22" s="12"/>
      <c r="AH22" s="12"/>
      <c r="AI22" s="12"/>
      <c r="AJ22" s="12"/>
      <c r="AK22" s="46">
        <f>IF(OR($G$4="MEDIA",$G$4="BASICA - TERCER CICLO"),ROUND(((AF22*$AF$11)+(AG22*$AG$11)+(AH22*$AH$11)+(AI22*$AI$11)+(AJ22*$AJ$11)*100)/35%,2),ROUND((AF22*$AF$11)+(AG22*$AG$11)+(AH22*$AH$11)+(AI22*$AI$11)+(AJ22*$AJ$11),2))</f>
        <v>0</v>
      </c>
      <c r="AL22" s="12"/>
      <c r="AM22" s="12"/>
      <c r="AN22" s="12"/>
      <c r="AO22" s="46">
        <f>IF(OR($G$4="MEDIA",$G$4="BASICA - TERCER CICLO"),ROUND(((AL22*$AL$11)+(AM22*$AM$11)+(AN22*$AN$11)*100)/30%,2),ROUND(((AL22*$AL$11)+(AM22*$AM$11)+(AN22*$AN$11)*100)/30%,2))</f>
        <v>0</v>
      </c>
      <c r="AP22" s="12"/>
      <c r="AQ22" s="14">
        <f>IF(OR($G$4="MEDIA",$G$4="BASICA - TERCER CICLO"),ROUND((AP22*$AP$11),2),ROUND((AP22*$AP$11),0))</f>
        <v>0</v>
      </c>
      <c r="AR22" s="47">
        <f>ROUND((AE22+AK22+AO22)/3,1)</f>
        <v>0</v>
      </c>
      <c r="AS22" s="12"/>
      <c r="AT22" s="12"/>
      <c r="AU22" s="12"/>
      <c r="AV22" s="12"/>
      <c r="AW22" s="12"/>
      <c r="AX22" s="46">
        <f>IF(OR($G$4="MEDIA",$G$4="BASICA - TERCER CICLO"),ROUND(((AS22*$AS$11)+(AT22*$AT$11)+(AU22*$AU$11)+(AV22*$AV$11)+(AW22*$AW$11)*100)/35%,2),ROUND((AS22*$AS$11)+(AT22*$AT$11)+(AU22*$AU$11)+(AV22*$AV$11)+(AW22*$AW$11),2))</f>
        <v>0</v>
      </c>
      <c r="AY22" s="12"/>
      <c r="AZ22" s="12"/>
      <c r="BA22" s="12"/>
      <c r="BB22" s="12"/>
      <c r="BC22" s="12"/>
      <c r="BD22" s="46">
        <f>IF(OR($G$4="MEDIA",$G$4="BASICA - TERCER CICLO"),ROUND(((AY22*$AY$11)+(AZ22*$AZ$11)+(BA22*$BA$11)+(BB22*$BB$11)+(BC22*$BC$11)*100)/35%,2),ROUND((AY22*$AY$11)+(AZ22*$AZ$11)+(BA22*$BA$11)+(BB22*$BB$11)+(BC22*$BC$11),2))</f>
        <v>0</v>
      </c>
      <c r="BE22" s="12"/>
      <c r="BF22" s="12"/>
      <c r="BG22" s="12"/>
      <c r="BH22" s="46">
        <f>IF(OR($G$4="MEDIA",$G$4="BASICA - TERCER CICLO"),ROUND(((BE22*$BE$11)+(BF22*$BF$11)+(BG22*$BG$11)*100)/30%,2),ROUND(((BE22*$BE$11)+(BF22*$BF$11)+(BG22*$BG$11)*100)/30%,2))</f>
        <v>0</v>
      </c>
      <c r="BI22" s="12"/>
      <c r="BJ22" s="14">
        <f>IF(OR($G$4="MEDIA",$G$4="BASICA - TERCER CICLO"),ROUND((BI22*$BI$11),2),ROUND((BI22*$BI$11),0))</f>
        <v>0</v>
      </c>
      <c r="BK22" s="47">
        <f>ROUND((AX22+BD22+BH22)/3,1)</f>
        <v>0</v>
      </c>
      <c r="BL22" s="12"/>
      <c r="BM22" s="12"/>
      <c r="BN22" s="12"/>
      <c r="BO22" s="12"/>
      <c r="BP22" s="12"/>
      <c r="BQ22" s="13">
        <f>IF(OR($G$4="MEDIA",$G$4="BASICA - TERCER CICLO"),ROUND(((BL22*$BL$11)+(BM22*$BM$11)+(BN22*$BN$11)+(BO22*$BO$11)+(BP22*$BP$11)*100)/35%,2),ROUND(((BL22*$BL$11)+(BM22*$BM$11)+(BN22*$BN$11)+(BO22*$BO$11)+(BP22*$BP$11)*100)/35%,2))</f>
        <v>0</v>
      </c>
      <c r="BR22" s="12"/>
      <c r="BS22" s="12"/>
      <c r="BT22" s="12"/>
      <c r="BU22" s="12"/>
      <c r="BV22" s="12"/>
      <c r="BW22" s="13">
        <f>IF(OR($G$4="MEDIA",$G$4="BASICA - TERCER CICLO"),ROUND(((BR22*$BR$11)+(BS22*$BS$11)+(BT22*$BT$11)+(BU22*$BU$11)+(BV22*$BV$11)*100)/35%,2),ROUND(((BR22*$BR$11)+(BS22*$BS$11)+(BT22*$BT$11)+(BU22*$BU$11)+(BV22*$BP$11)*100)/35%,2))</f>
        <v>0</v>
      </c>
      <c r="BX22" s="12"/>
      <c r="BY22" s="12"/>
      <c r="BZ22" s="12"/>
      <c r="CA22" s="13">
        <f>IF(OR($G$4="MEDIA",$G$4="BASICA - TERCER CICLO"),ROUND(((BX22*$BX$11)+(BY22*$BY$11)+(BZ22*$BZ$11)*100)/30%,2),ROUND(((BX22*$BX$11)+(BY22*$BY$11)+(BZ22*$BZ$11)*100)/30%,2))</f>
        <v>0</v>
      </c>
      <c r="CB22" s="12"/>
      <c r="CC22" s="14">
        <f>IF(OR($G$4="MEDIA",$G$4="BASICA - TERCER CICLO"),ROUND((CB22*$BI$11),2),ROUND((CB22*$BI$11),0))</f>
        <v>0</v>
      </c>
      <c r="CD22" s="28">
        <f>IF(OR($G$4="MEDIA",$G$4="BASICA - TERCER CICLO"),ROUND((BQ22+BW22+CA22+CC22),1),IF($G$4="BASICA",ROUND((BQ22+BW22+CA22+CC22),0),ROUND((BQ22+BW22+CA22+CC22),1)))</f>
        <v>0</v>
      </c>
      <c r="CE22" s="28">
        <f>IF($G$4 = "MEDIA",ROUND(((Y22+AR22+BK22+CD22)/4),0),ROUND(((Y22+AR22+BK22)/3),0))</f>
        <v>0</v>
      </c>
      <c r="CF22" s="21"/>
      <c r="CG22" s="28">
        <f>IF(AND(CE22&lt;5,$G$4="BASICA"),ROUND((CE22+CF22)/2,0),IF(AND(CE22&lt;6,$G$4="MEDIA"),ROUND((CE22+CF22)/2,0),CE22))</f>
        <v>0</v>
      </c>
      <c r="CH22" s="16" t="str">
        <f>IF($G$4="MEDIA",IF(CG22&gt;=6,"Aprobado","Reprobado"),IF(CG22&gt;=5,"Aprobado","Reprobado"))</f>
        <v>Reprobado</v>
      </c>
    </row>
    <row r="23" spans="1:86" customHeight="1" ht="20.25">
      <c r="A23" s="39">
        <v>11</v>
      </c>
      <c r="B23" s="2">
        <v>10519959</v>
      </c>
      <c r="C23" s="2">
        <v>5098</v>
      </c>
      <c r="D23" s="2">
        <v>26957</v>
      </c>
      <c r="E23" s="2" t="s">
        <v>48</v>
      </c>
      <c r="F23" s="40" t="s">
        <v>39</v>
      </c>
      <c r="G23" s="31"/>
      <c r="H23" s="7"/>
      <c r="I23" s="7"/>
      <c r="J23" s="7"/>
      <c r="K23" s="7"/>
      <c r="L23" s="46">
        <f>IF(OR($G$4="MEDIA",$G$4="BASICA - TERCER CICLO"),ROUND(((G23*$G$11)+(H23*$H$11)+(I23*$I$11)+(J23*$J$11)+(K23*$K$11)*100)/35%,2),ROUND((G23*$G$11)+(H23*$H$11)+(I23*$I$11)+(J23*$J$11)+(K23*$K$11),2))</f>
        <v>0</v>
      </c>
      <c r="M23" s="7"/>
      <c r="N23" s="7"/>
      <c r="O23" s="7"/>
      <c r="P23" s="7"/>
      <c r="Q23" s="7"/>
      <c r="R23" s="46">
        <f>IF(OR($G$4="MEDIA",$G$4="BASICA - TERCER CICLO"),ROUND(((M23*$M$11)+(N23*$N$11)+(O23*$O$11)+(P23*$P$11)+(Q23*$Q$11)*100)/35%,2),ROUND((M23*$M$11)+(N23*$N$11)+(O23*$O$11)+(P23*$P$11)+(Q23*$Q$11),2))</f>
        <v>0</v>
      </c>
      <c r="S23" s="7"/>
      <c r="T23" s="7"/>
      <c r="U23" s="7"/>
      <c r="V23" s="13">
        <f>IF(OR($G$4="MEDIA",$G$4="BASICA - TERCER CICLO"),ROUND(((S23*$S$11)+(T23*$T$11)+(U23*$U$11)*100)/30%,2),ROUND(((S23*$S$11)+(T23*$T$11)+(U23*$U$11)*100)/30%,2))</f>
        <v>0</v>
      </c>
      <c r="W23" s="7"/>
      <c r="X23" s="14">
        <f>IF(OR($G$4="MEDIA",$G$4="BASICA - TERCER CICLO"),ROUND((W23*$W$11),2),ROUND((W23*$W$11),0))</f>
        <v>0</v>
      </c>
      <c r="Y23" s="47">
        <f>ROUND((L23+R23+V23)/3,1)</f>
        <v>0</v>
      </c>
      <c r="Z23" s="7"/>
      <c r="AA23" s="7"/>
      <c r="AB23" s="7"/>
      <c r="AC23" s="7"/>
      <c r="AD23" s="7"/>
      <c r="AE23" s="46">
        <f>IF(OR($G$4="MEDIA",$G$4="BASICA - TERCER CICLO"),ROUND(((Z23*$Z$11)+(AA23*$AA$11)+(AB23*$AB$11)+(AC23*$AC$11)+(AD23*$AD$11)*100)/35%,2),ROUND((Z23*$Z$11)+(AA23*$AA$11)+(AB23*$AB$11)+(AC23*$AC$11)+(AD23*$AD$11),2))</f>
        <v>0</v>
      </c>
      <c r="AF23" s="7"/>
      <c r="AG23" s="7"/>
      <c r="AH23" s="7"/>
      <c r="AI23" s="7"/>
      <c r="AJ23" s="7"/>
      <c r="AK23" s="46">
        <f>IF(OR($G$4="MEDIA",$G$4="BASICA - TERCER CICLO"),ROUND(((AF23*$AF$11)+(AG23*$AG$11)+(AH23*$AH$11)+(AI23*$AI$11)+(AJ23*$AJ$11)*100)/35%,2),ROUND((AF23*$AF$11)+(AG23*$AG$11)+(AH23*$AH$11)+(AI23*$AI$11)+(AJ23*$AJ$11),2))</f>
        <v>0</v>
      </c>
      <c r="AL23" s="7"/>
      <c r="AM23" s="7"/>
      <c r="AN23" s="7"/>
      <c r="AO23" s="46">
        <f>IF(OR($G$4="MEDIA",$G$4="BASICA - TERCER CICLO"),ROUND(((AL23*$AL$11)+(AM23*$AM$11)+(AN23*$AN$11)*100)/30%,2),ROUND(((AL23*$AL$11)+(AM23*$AM$11)+(AN23*$AN$11)*100)/30%,2))</f>
        <v>0</v>
      </c>
      <c r="AP23" s="7"/>
      <c r="AQ23" s="14">
        <f>IF(OR($G$4="MEDIA",$G$4="BASICA - TERCER CICLO"),ROUND((AP23*$AP$11),2),ROUND((AP23*$AP$11),0))</f>
        <v>0</v>
      </c>
      <c r="AR23" s="47">
        <f>ROUND((AE23+AK23+AO23)/3,1)</f>
        <v>0</v>
      </c>
      <c r="AS23" s="7"/>
      <c r="AT23" s="7"/>
      <c r="AU23" s="7"/>
      <c r="AV23" s="7"/>
      <c r="AW23" s="7"/>
      <c r="AX23" s="46">
        <f>IF(OR($G$4="MEDIA",$G$4="BASICA - TERCER CICLO"),ROUND(((AS23*$AS$11)+(AT23*$AT$11)+(AU23*$AU$11)+(AV23*$AV$11)+(AW23*$AW$11)*100)/35%,2),ROUND((AS23*$AS$11)+(AT23*$AT$11)+(AU23*$AU$11)+(AV23*$AV$11)+(AW23*$AW$11),2))</f>
        <v>0</v>
      </c>
      <c r="AY23" s="7"/>
      <c r="AZ23" s="7"/>
      <c r="BA23" s="7"/>
      <c r="BB23" s="7"/>
      <c r="BC23" s="7"/>
      <c r="BD23" s="46">
        <f>IF(OR($G$4="MEDIA",$G$4="BASICA - TERCER CICLO"),ROUND(((AY23*$AY$11)+(AZ23*$AZ$11)+(BA23*$BA$11)+(BB23*$BB$11)+(BC23*$BC$11)*100)/35%,2),ROUND((AY23*$AY$11)+(AZ23*$AZ$11)+(BA23*$BA$11)+(BB23*$BB$11)+(BC23*$BC$11),2))</f>
        <v>0</v>
      </c>
      <c r="BE23" s="7"/>
      <c r="BF23" s="7"/>
      <c r="BG23" s="7"/>
      <c r="BH23" s="46">
        <f>IF(OR($G$4="MEDIA",$G$4="BASICA - TERCER CICLO"),ROUND(((BE23*$BE$11)+(BF23*$BF$11)+(BG23*$BG$11)*100)/30%,2),ROUND(((BE23*$BE$11)+(BF23*$BF$11)+(BG23*$BG$11)*100)/30%,2))</f>
        <v>0</v>
      </c>
      <c r="BI23" s="7"/>
      <c r="BJ23" s="14">
        <f>IF(OR($G$4="MEDIA",$G$4="BASICA - TERCER CICLO"),ROUND((BI23*$BI$11),2),ROUND((BI23*$BI$11),0))</f>
        <v>0</v>
      </c>
      <c r="BK23" s="47">
        <f>ROUND((AX23+BD23+BH23)/3,1)</f>
        <v>0</v>
      </c>
      <c r="BL23" s="7"/>
      <c r="BM23" s="7"/>
      <c r="BN23" s="7"/>
      <c r="BO23" s="7"/>
      <c r="BP23" s="7"/>
      <c r="BQ23" s="13">
        <f>IF(OR($G$4="MEDIA",$G$4="BASICA - TERCER CICLO"),ROUND(((BL23*$BL$11)+(BM23*$BM$11)+(BN23*$BN$11)+(BO23*$BO$11)+(BP23*$BP$11)*100)/35%,2),ROUND(((BL23*$BL$11)+(BM23*$BM$11)+(BN23*$BN$11)+(BO23*$BO$11)+(BP23*$BP$11)*100)/35%,2))</f>
        <v>0</v>
      </c>
      <c r="BR23" s="7"/>
      <c r="BS23" s="7"/>
      <c r="BT23" s="7"/>
      <c r="BU23" s="7"/>
      <c r="BV23" s="7"/>
      <c r="BW23" s="13">
        <f>IF(OR($G$4="MEDIA",$G$4="BASICA - TERCER CICLO"),ROUND(((BR23*$BR$11)+(BS23*$BS$11)+(BT23*$BT$11)+(BU23*$BU$11)+(BV23*$BV$11)*100)/35%,2),ROUND(((BR23*$BR$11)+(BS23*$BS$11)+(BT23*$BT$11)+(BU23*$BU$11)+(BV23*$BP$11)*100)/35%,2))</f>
        <v>0</v>
      </c>
      <c r="BX23" s="7"/>
      <c r="BY23" s="7"/>
      <c r="BZ23" s="7"/>
      <c r="CA23" s="13">
        <f>IF(OR($G$4="MEDIA",$G$4="BASICA - TERCER CICLO"),ROUND(((BX23*$BX$11)+(BY23*$BY$11)+(BZ23*$BZ$11)*100)/30%,2),ROUND(((BX23*$BX$11)+(BY23*$BY$11)+(BZ23*$BZ$11)*100)/30%,2))</f>
        <v>0</v>
      </c>
      <c r="CB23" s="7"/>
      <c r="CC23" s="14">
        <f>IF(OR($G$4="MEDIA",$G$4="BASICA - TERCER CICLO"),ROUND((CB23*$BI$11),2),ROUND((CB23*$BI$11),0))</f>
        <v>0</v>
      </c>
      <c r="CD23" s="28">
        <f>IF(OR($G$4="MEDIA",$G$4="BASICA - TERCER CICLO"),ROUND((BQ23+BW23+CA23+CC23),1),IF($G$4="BASICA",ROUND((BQ23+BW23+CA23+CC23),0),ROUND((BQ23+BW23+CA23+CC23),1)))</f>
        <v>0</v>
      </c>
      <c r="CE23" s="28">
        <f>IF($G$4 = "MEDIA",ROUND(((Y23+AR23+BK23+CD23)/4),0),ROUND(((Y23+AR23+BK23)/3),0))</f>
        <v>0</v>
      </c>
      <c r="CF23" s="20"/>
      <c r="CG23" s="28">
        <f>IF(AND(CE23&lt;5,$G$4="BASICA"),ROUND((CE23+CF23)/2,0),IF(AND(CE23&lt;6,$G$4="MEDIA"),ROUND((CE23+CF23)/2,0),CE23))</f>
        <v>0</v>
      </c>
      <c r="CH23" s="17" t="str">
        <f>IF($G$4="MEDIA",IF(CG23&gt;=6,"Aprobado","Reprobado"),IF(CG23&gt;=5,"Aprobado","Reprobado"))</f>
        <v>Reprobado</v>
      </c>
    </row>
    <row r="24" spans="1:86" customHeight="1" ht="20.25">
      <c r="A24" s="41">
        <v>12</v>
      </c>
      <c r="B24" s="3">
        <v>10103665</v>
      </c>
      <c r="C24" s="3">
        <v>4133</v>
      </c>
      <c r="D24" s="3">
        <v>26969</v>
      </c>
      <c r="E24" s="3" t="s">
        <v>49</v>
      </c>
      <c r="F24" s="42" t="s">
        <v>39</v>
      </c>
      <c r="G24" s="32"/>
      <c r="H24" s="12"/>
      <c r="I24" s="12"/>
      <c r="J24" s="12"/>
      <c r="K24" s="12"/>
      <c r="L24" s="46">
        <f>IF(OR($G$4="MEDIA",$G$4="BASICA - TERCER CICLO"),ROUND(((G24*$G$11)+(H24*$H$11)+(I24*$I$11)+(J24*$J$11)+(K24*$K$11)*100)/35%,2),ROUND((G24*$G$11)+(H24*$H$11)+(I24*$I$11)+(J24*$J$11)+(K24*$K$11),2))</f>
        <v>0</v>
      </c>
      <c r="M24" s="12"/>
      <c r="N24" s="12"/>
      <c r="O24" s="12"/>
      <c r="P24" s="12"/>
      <c r="Q24" s="12"/>
      <c r="R24" s="46">
        <f>IF(OR($G$4="MEDIA",$G$4="BASICA - TERCER CICLO"),ROUND(((M24*$M$11)+(N24*$N$11)+(O24*$O$11)+(P24*$P$11)+(Q24*$Q$11)*100)/35%,2),ROUND((M24*$M$11)+(N24*$N$11)+(O24*$O$11)+(P24*$P$11)+(Q24*$Q$11),2))</f>
        <v>0</v>
      </c>
      <c r="S24" s="12"/>
      <c r="T24" s="12"/>
      <c r="U24" s="12"/>
      <c r="V24" s="13">
        <f>IF(OR($G$4="MEDIA",$G$4="BASICA - TERCER CICLO"),ROUND(((S24*$S$11)+(T24*$T$11)+(U24*$U$11)*100)/30%,2),ROUND(((S24*$S$11)+(T24*$T$11)+(U24*$U$11)*100)/30%,2))</f>
        <v>0</v>
      </c>
      <c r="W24" s="12"/>
      <c r="X24" s="14">
        <f>IF(OR($G$4="MEDIA",$G$4="BASICA - TERCER CICLO"),ROUND((W24*$W$11),2),ROUND((W24*$W$11),0))</f>
        <v>0</v>
      </c>
      <c r="Y24" s="47">
        <f>ROUND((L24+R24+V24)/3,1)</f>
        <v>0</v>
      </c>
      <c r="Z24" s="12"/>
      <c r="AA24" s="12"/>
      <c r="AB24" s="12"/>
      <c r="AC24" s="12"/>
      <c r="AD24" s="12"/>
      <c r="AE24" s="46">
        <f>IF(OR($G$4="MEDIA",$G$4="BASICA - TERCER CICLO"),ROUND(((Z24*$Z$11)+(AA24*$AA$11)+(AB24*$AB$11)+(AC24*$AC$11)+(AD24*$AD$11)*100)/35%,2),ROUND((Z24*$Z$11)+(AA24*$AA$11)+(AB24*$AB$11)+(AC24*$AC$11)+(AD24*$AD$11),2))</f>
        <v>0</v>
      </c>
      <c r="AF24" s="12"/>
      <c r="AG24" s="12"/>
      <c r="AH24" s="12"/>
      <c r="AI24" s="12"/>
      <c r="AJ24" s="12"/>
      <c r="AK24" s="46">
        <f>IF(OR($G$4="MEDIA",$G$4="BASICA - TERCER CICLO"),ROUND(((AF24*$AF$11)+(AG24*$AG$11)+(AH24*$AH$11)+(AI24*$AI$11)+(AJ24*$AJ$11)*100)/35%,2),ROUND((AF24*$AF$11)+(AG24*$AG$11)+(AH24*$AH$11)+(AI24*$AI$11)+(AJ24*$AJ$11),2))</f>
        <v>0</v>
      </c>
      <c r="AL24" s="12"/>
      <c r="AM24" s="12"/>
      <c r="AN24" s="12"/>
      <c r="AO24" s="46">
        <f>IF(OR($G$4="MEDIA",$G$4="BASICA - TERCER CICLO"),ROUND(((AL24*$AL$11)+(AM24*$AM$11)+(AN24*$AN$11)*100)/30%,2),ROUND(((AL24*$AL$11)+(AM24*$AM$11)+(AN24*$AN$11)*100)/30%,2))</f>
        <v>0</v>
      </c>
      <c r="AP24" s="12"/>
      <c r="AQ24" s="14">
        <f>IF(OR($G$4="MEDIA",$G$4="BASICA - TERCER CICLO"),ROUND((AP24*$AP$11),2),ROUND((AP24*$AP$11),0))</f>
        <v>0</v>
      </c>
      <c r="AR24" s="47">
        <f>ROUND((AE24+AK24+AO24)/3,1)</f>
        <v>0</v>
      </c>
      <c r="AS24" s="12"/>
      <c r="AT24" s="12"/>
      <c r="AU24" s="12"/>
      <c r="AV24" s="12"/>
      <c r="AW24" s="12"/>
      <c r="AX24" s="46">
        <f>IF(OR($G$4="MEDIA",$G$4="BASICA - TERCER CICLO"),ROUND(((AS24*$AS$11)+(AT24*$AT$11)+(AU24*$AU$11)+(AV24*$AV$11)+(AW24*$AW$11)*100)/35%,2),ROUND((AS24*$AS$11)+(AT24*$AT$11)+(AU24*$AU$11)+(AV24*$AV$11)+(AW24*$AW$11),2))</f>
        <v>0</v>
      </c>
      <c r="AY24" s="12"/>
      <c r="AZ24" s="12"/>
      <c r="BA24" s="12"/>
      <c r="BB24" s="12"/>
      <c r="BC24" s="12"/>
      <c r="BD24" s="46">
        <f>IF(OR($G$4="MEDIA",$G$4="BASICA - TERCER CICLO"),ROUND(((AY24*$AY$11)+(AZ24*$AZ$11)+(BA24*$BA$11)+(BB24*$BB$11)+(BC24*$BC$11)*100)/35%,2),ROUND((AY24*$AY$11)+(AZ24*$AZ$11)+(BA24*$BA$11)+(BB24*$BB$11)+(BC24*$BC$11),2))</f>
        <v>0</v>
      </c>
      <c r="BE24" s="12"/>
      <c r="BF24" s="12"/>
      <c r="BG24" s="12"/>
      <c r="BH24" s="46">
        <f>IF(OR($G$4="MEDIA",$G$4="BASICA - TERCER CICLO"),ROUND(((BE24*$BE$11)+(BF24*$BF$11)+(BG24*$BG$11)*100)/30%,2),ROUND(((BE24*$BE$11)+(BF24*$BF$11)+(BG24*$BG$11)*100)/30%,2))</f>
        <v>0</v>
      </c>
      <c r="BI24" s="12"/>
      <c r="BJ24" s="14">
        <f>IF(OR($G$4="MEDIA",$G$4="BASICA - TERCER CICLO"),ROUND((BI24*$BI$11),2),ROUND((BI24*$BI$11),0))</f>
        <v>0</v>
      </c>
      <c r="BK24" s="47">
        <f>ROUND((AX24+BD24+BH24)/3,1)</f>
        <v>0</v>
      </c>
      <c r="BL24" s="12"/>
      <c r="BM24" s="12"/>
      <c r="BN24" s="12"/>
      <c r="BO24" s="12"/>
      <c r="BP24" s="12"/>
      <c r="BQ24" s="13">
        <f>IF(OR($G$4="MEDIA",$G$4="BASICA - TERCER CICLO"),ROUND(((BL24*$BL$11)+(BM24*$BM$11)+(BN24*$BN$11)+(BO24*$BO$11)+(BP24*$BP$11)*100)/35%,2),ROUND(((BL24*$BL$11)+(BM24*$BM$11)+(BN24*$BN$11)+(BO24*$BO$11)+(BP24*$BP$11)*100)/35%,2))</f>
        <v>0</v>
      </c>
      <c r="BR24" s="12"/>
      <c r="BS24" s="12"/>
      <c r="BT24" s="12"/>
      <c r="BU24" s="12"/>
      <c r="BV24" s="12"/>
      <c r="BW24" s="13">
        <f>IF(OR($G$4="MEDIA",$G$4="BASICA - TERCER CICLO"),ROUND(((BR24*$BR$11)+(BS24*$BS$11)+(BT24*$BT$11)+(BU24*$BU$11)+(BV24*$BV$11)*100)/35%,2),ROUND(((BR24*$BR$11)+(BS24*$BS$11)+(BT24*$BT$11)+(BU24*$BU$11)+(BV24*$BP$11)*100)/35%,2))</f>
        <v>0</v>
      </c>
      <c r="BX24" s="12"/>
      <c r="BY24" s="12"/>
      <c r="BZ24" s="12"/>
      <c r="CA24" s="13">
        <f>IF(OR($G$4="MEDIA",$G$4="BASICA - TERCER CICLO"),ROUND(((BX24*$BX$11)+(BY24*$BY$11)+(BZ24*$BZ$11)*100)/30%,2),ROUND(((BX24*$BX$11)+(BY24*$BY$11)+(BZ24*$BZ$11)*100)/30%,2))</f>
        <v>0</v>
      </c>
      <c r="CB24" s="12"/>
      <c r="CC24" s="14">
        <f>IF(OR($G$4="MEDIA",$G$4="BASICA - TERCER CICLO"),ROUND((CB24*$BI$11),2),ROUND((CB24*$BI$11),0))</f>
        <v>0</v>
      </c>
      <c r="CD24" s="28">
        <f>IF(OR($G$4="MEDIA",$G$4="BASICA - TERCER CICLO"),ROUND((BQ24+BW24+CA24+CC24),1),IF($G$4="BASICA",ROUND((BQ24+BW24+CA24+CC24),0),ROUND((BQ24+BW24+CA24+CC24),1)))</f>
        <v>0</v>
      </c>
      <c r="CE24" s="28">
        <f>IF($G$4 = "MEDIA",ROUND(((Y24+AR24+BK24+CD24)/4),0),ROUND(((Y24+AR24+BK24)/3),0))</f>
        <v>0</v>
      </c>
      <c r="CF24" s="21"/>
      <c r="CG24" s="28">
        <f>IF(AND(CE24&lt;5,$G$4="BASICA"),ROUND((CE24+CF24)/2,0),IF(AND(CE24&lt;6,$G$4="MEDIA"),ROUND((CE24+CF24)/2,0),CE24))</f>
        <v>0</v>
      </c>
      <c r="CH24" s="16" t="str">
        <f>IF($G$4="MEDIA",IF(CG24&gt;=6,"Aprobado","Reprobado"),IF(CG24&gt;=5,"Aprobado","Reprobado"))</f>
        <v>Reprobado</v>
      </c>
    </row>
    <row r="25" spans="1:86" customHeight="1" ht="20.25">
      <c r="A25" s="39">
        <v>13</v>
      </c>
      <c r="B25" s="2">
        <v>10399188</v>
      </c>
      <c r="C25" s="2">
        <v>5227</v>
      </c>
      <c r="D25" s="2">
        <v>26958</v>
      </c>
      <c r="E25" s="2" t="s">
        <v>50</v>
      </c>
      <c r="F25" s="40" t="s">
        <v>37</v>
      </c>
      <c r="G25" s="31"/>
      <c r="H25" s="7"/>
      <c r="I25" s="7"/>
      <c r="J25" s="7"/>
      <c r="K25" s="7"/>
      <c r="L25" s="46">
        <f>IF(OR($G$4="MEDIA",$G$4="BASICA - TERCER CICLO"),ROUND(((G25*$G$11)+(H25*$H$11)+(I25*$I$11)+(J25*$J$11)+(K25*$K$11)*100)/35%,2),ROUND((G25*$G$11)+(H25*$H$11)+(I25*$I$11)+(J25*$J$11)+(K25*$K$11),2))</f>
        <v>0</v>
      </c>
      <c r="M25" s="7"/>
      <c r="N25" s="7"/>
      <c r="O25" s="7"/>
      <c r="P25" s="7"/>
      <c r="Q25" s="7"/>
      <c r="R25" s="46">
        <f>IF(OR($G$4="MEDIA",$G$4="BASICA - TERCER CICLO"),ROUND(((M25*$M$11)+(N25*$N$11)+(O25*$O$11)+(P25*$P$11)+(Q25*$Q$11)*100)/35%,2),ROUND((M25*$M$11)+(N25*$N$11)+(O25*$O$11)+(P25*$P$11)+(Q25*$Q$11),2))</f>
        <v>0</v>
      </c>
      <c r="S25" s="7"/>
      <c r="T25" s="7"/>
      <c r="U25" s="7"/>
      <c r="V25" s="13">
        <f>IF(OR($G$4="MEDIA",$G$4="BASICA - TERCER CICLO"),ROUND(((S25*$S$11)+(T25*$T$11)+(U25*$U$11)*100)/30%,2),ROUND(((S25*$S$11)+(T25*$T$11)+(U25*$U$11)*100)/30%,2))</f>
        <v>0</v>
      </c>
      <c r="W25" s="7"/>
      <c r="X25" s="14">
        <f>IF(OR($G$4="MEDIA",$G$4="BASICA - TERCER CICLO"),ROUND((W25*$W$11),2),ROUND((W25*$W$11),0))</f>
        <v>0</v>
      </c>
      <c r="Y25" s="47">
        <f>ROUND((L25+R25+V25)/3,1)</f>
        <v>0</v>
      </c>
      <c r="Z25" s="7"/>
      <c r="AA25" s="7"/>
      <c r="AB25" s="7"/>
      <c r="AC25" s="7"/>
      <c r="AD25" s="7"/>
      <c r="AE25" s="46">
        <f>IF(OR($G$4="MEDIA",$G$4="BASICA - TERCER CICLO"),ROUND(((Z25*$Z$11)+(AA25*$AA$11)+(AB25*$AB$11)+(AC25*$AC$11)+(AD25*$AD$11)*100)/35%,2),ROUND((Z25*$Z$11)+(AA25*$AA$11)+(AB25*$AB$11)+(AC25*$AC$11)+(AD25*$AD$11),2))</f>
        <v>0</v>
      </c>
      <c r="AF25" s="7"/>
      <c r="AG25" s="7"/>
      <c r="AH25" s="7"/>
      <c r="AI25" s="7"/>
      <c r="AJ25" s="7"/>
      <c r="AK25" s="46">
        <f>IF(OR($G$4="MEDIA",$G$4="BASICA - TERCER CICLO"),ROUND(((AF25*$AF$11)+(AG25*$AG$11)+(AH25*$AH$11)+(AI25*$AI$11)+(AJ25*$AJ$11)*100)/35%,2),ROUND((AF25*$AF$11)+(AG25*$AG$11)+(AH25*$AH$11)+(AI25*$AI$11)+(AJ25*$AJ$11),2))</f>
        <v>0</v>
      </c>
      <c r="AL25" s="7"/>
      <c r="AM25" s="7"/>
      <c r="AN25" s="7"/>
      <c r="AO25" s="46">
        <f>IF(OR($G$4="MEDIA",$G$4="BASICA - TERCER CICLO"),ROUND(((AL25*$AL$11)+(AM25*$AM$11)+(AN25*$AN$11)*100)/30%,2),ROUND(((AL25*$AL$11)+(AM25*$AM$11)+(AN25*$AN$11)*100)/30%,2))</f>
        <v>0</v>
      </c>
      <c r="AP25" s="7"/>
      <c r="AQ25" s="14">
        <f>IF(OR($G$4="MEDIA",$G$4="BASICA - TERCER CICLO"),ROUND((AP25*$AP$11),2),ROUND((AP25*$AP$11),0))</f>
        <v>0</v>
      </c>
      <c r="AR25" s="47">
        <f>ROUND((AE25+AK25+AO25)/3,1)</f>
        <v>0</v>
      </c>
      <c r="AS25" s="7"/>
      <c r="AT25" s="7"/>
      <c r="AU25" s="7"/>
      <c r="AV25" s="7"/>
      <c r="AW25" s="7"/>
      <c r="AX25" s="46">
        <f>IF(OR($G$4="MEDIA",$G$4="BASICA - TERCER CICLO"),ROUND(((AS25*$AS$11)+(AT25*$AT$11)+(AU25*$AU$11)+(AV25*$AV$11)+(AW25*$AW$11)*100)/35%,2),ROUND((AS25*$AS$11)+(AT25*$AT$11)+(AU25*$AU$11)+(AV25*$AV$11)+(AW25*$AW$11),2))</f>
        <v>0</v>
      </c>
      <c r="AY25" s="7"/>
      <c r="AZ25" s="7"/>
      <c r="BA25" s="7"/>
      <c r="BB25" s="7"/>
      <c r="BC25" s="7"/>
      <c r="BD25" s="46">
        <f>IF(OR($G$4="MEDIA",$G$4="BASICA - TERCER CICLO"),ROUND(((AY25*$AY$11)+(AZ25*$AZ$11)+(BA25*$BA$11)+(BB25*$BB$11)+(BC25*$BC$11)*100)/35%,2),ROUND((AY25*$AY$11)+(AZ25*$AZ$11)+(BA25*$BA$11)+(BB25*$BB$11)+(BC25*$BC$11),2))</f>
        <v>0</v>
      </c>
      <c r="BE25" s="7"/>
      <c r="BF25" s="7"/>
      <c r="BG25" s="7"/>
      <c r="BH25" s="46">
        <f>IF(OR($G$4="MEDIA",$G$4="BASICA - TERCER CICLO"),ROUND(((BE25*$BE$11)+(BF25*$BF$11)+(BG25*$BG$11)*100)/30%,2),ROUND(((BE25*$BE$11)+(BF25*$BF$11)+(BG25*$BG$11)*100)/30%,2))</f>
        <v>0</v>
      </c>
      <c r="BI25" s="7"/>
      <c r="BJ25" s="14">
        <f>IF(OR($G$4="MEDIA",$G$4="BASICA - TERCER CICLO"),ROUND((BI25*$BI$11),2),ROUND((BI25*$BI$11),0))</f>
        <v>0</v>
      </c>
      <c r="BK25" s="47">
        <f>ROUND((AX25+BD25+BH25)/3,1)</f>
        <v>0</v>
      </c>
      <c r="BL25" s="7"/>
      <c r="BM25" s="7"/>
      <c r="BN25" s="7"/>
      <c r="BO25" s="7"/>
      <c r="BP25" s="7"/>
      <c r="BQ25" s="13">
        <f>IF(OR($G$4="MEDIA",$G$4="BASICA - TERCER CICLO"),ROUND(((BL25*$BL$11)+(BM25*$BM$11)+(BN25*$BN$11)+(BO25*$BO$11)+(BP25*$BP$11)*100)/35%,2),ROUND(((BL25*$BL$11)+(BM25*$BM$11)+(BN25*$BN$11)+(BO25*$BO$11)+(BP25*$BP$11)*100)/35%,2))</f>
        <v>0</v>
      </c>
      <c r="BR25" s="7"/>
      <c r="BS25" s="7"/>
      <c r="BT25" s="7"/>
      <c r="BU25" s="7"/>
      <c r="BV25" s="7"/>
      <c r="BW25" s="13">
        <f>IF(OR($G$4="MEDIA",$G$4="BASICA - TERCER CICLO"),ROUND(((BR25*$BR$11)+(BS25*$BS$11)+(BT25*$BT$11)+(BU25*$BU$11)+(BV25*$BV$11)*100)/35%,2),ROUND(((BR25*$BR$11)+(BS25*$BS$11)+(BT25*$BT$11)+(BU25*$BU$11)+(BV25*$BP$11)*100)/35%,2))</f>
        <v>0</v>
      </c>
      <c r="BX25" s="7"/>
      <c r="BY25" s="7"/>
      <c r="BZ25" s="7"/>
      <c r="CA25" s="13">
        <f>IF(OR($G$4="MEDIA",$G$4="BASICA - TERCER CICLO"),ROUND(((BX25*$BX$11)+(BY25*$BY$11)+(BZ25*$BZ$11)*100)/30%,2),ROUND(((BX25*$BX$11)+(BY25*$BY$11)+(BZ25*$BZ$11)*100)/30%,2))</f>
        <v>0</v>
      </c>
      <c r="CB25" s="7"/>
      <c r="CC25" s="14">
        <f>IF(OR($G$4="MEDIA",$G$4="BASICA - TERCER CICLO"),ROUND((CB25*$BI$11),2),ROUND((CB25*$BI$11),0))</f>
        <v>0</v>
      </c>
      <c r="CD25" s="28">
        <f>IF(OR($G$4="MEDIA",$G$4="BASICA - TERCER CICLO"),ROUND((BQ25+BW25+CA25+CC25),1),IF($G$4="BASICA",ROUND((BQ25+BW25+CA25+CC25),0),ROUND((BQ25+BW25+CA25+CC25),1)))</f>
        <v>0</v>
      </c>
      <c r="CE25" s="28">
        <f>IF($G$4 = "MEDIA",ROUND(((Y25+AR25+BK25+CD25)/4),0),ROUND(((Y25+AR25+BK25)/3),0))</f>
        <v>0</v>
      </c>
      <c r="CF25" s="20"/>
      <c r="CG25" s="28">
        <f>IF(AND(CE25&lt;5,$G$4="BASICA"),ROUND((CE25+CF25)/2,0),IF(AND(CE25&lt;6,$G$4="MEDIA"),ROUND((CE25+CF25)/2,0),CE25))</f>
        <v>0</v>
      </c>
      <c r="CH25" s="17" t="str">
        <f>IF($G$4="MEDIA",IF(CG25&gt;=6,"Aprobado","Reprobado"),IF(CG25&gt;=5,"Aprobado","Reprobado"))</f>
        <v>Reprobado</v>
      </c>
    </row>
    <row r="26" spans="1:86" customHeight="1" ht="20.25">
      <c r="A26" s="41">
        <v>14</v>
      </c>
      <c r="B26" s="3">
        <v>10523036</v>
      </c>
      <c r="C26" s="3">
        <v>4630</v>
      </c>
      <c r="D26" s="3">
        <v>26959</v>
      </c>
      <c r="E26" s="3" t="s">
        <v>51</v>
      </c>
      <c r="F26" s="42" t="s">
        <v>39</v>
      </c>
      <c r="G26" s="32"/>
      <c r="H26" s="12"/>
      <c r="I26" s="12"/>
      <c r="J26" s="12"/>
      <c r="K26" s="12"/>
      <c r="L26" s="46">
        <f>IF(OR($G$4="MEDIA",$G$4="BASICA - TERCER CICLO"),ROUND(((G26*$G$11)+(H26*$H$11)+(I26*$I$11)+(J26*$J$11)+(K26*$K$11)*100)/35%,2),ROUND((G26*$G$11)+(H26*$H$11)+(I26*$I$11)+(J26*$J$11)+(K26*$K$11),2))</f>
        <v>0</v>
      </c>
      <c r="M26" s="12"/>
      <c r="N26" s="12"/>
      <c r="O26" s="12"/>
      <c r="P26" s="12"/>
      <c r="Q26" s="12"/>
      <c r="R26" s="46">
        <f>IF(OR($G$4="MEDIA",$G$4="BASICA - TERCER CICLO"),ROUND(((M26*$M$11)+(N26*$N$11)+(O26*$O$11)+(P26*$P$11)+(Q26*$Q$11)*100)/35%,2),ROUND((M26*$M$11)+(N26*$N$11)+(O26*$O$11)+(P26*$P$11)+(Q26*$Q$11),2))</f>
        <v>0</v>
      </c>
      <c r="S26" s="12"/>
      <c r="T26" s="12"/>
      <c r="U26" s="12"/>
      <c r="V26" s="13">
        <f>IF(OR($G$4="MEDIA",$G$4="BASICA - TERCER CICLO"),ROUND(((S26*$S$11)+(T26*$T$11)+(U26*$U$11)*100)/30%,2),ROUND(((S26*$S$11)+(T26*$T$11)+(U26*$U$11)*100)/30%,2))</f>
        <v>0</v>
      </c>
      <c r="W26" s="12"/>
      <c r="X26" s="14">
        <f>IF(OR($G$4="MEDIA",$G$4="BASICA - TERCER CICLO"),ROUND((W26*$W$11),2),ROUND((W26*$W$11),0))</f>
        <v>0</v>
      </c>
      <c r="Y26" s="47">
        <f>ROUND((L26+R26+V26)/3,1)</f>
        <v>0</v>
      </c>
      <c r="Z26" s="12"/>
      <c r="AA26" s="12"/>
      <c r="AB26" s="12"/>
      <c r="AC26" s="12"/>
      <c r="AD26" s="12"/>
      <c r="AE26" s="46">
        <f>IF(OR($G$4="MEDIA",$G$4="BASICA - TERCER CICLO"),ROUND(((Z26*$Z$11)+(AA26*$AA$11)+(AB26*$AB$11)+(AC26*$AC$11)+(AD26*$AD$11)*100)/35%,2),ROUND((Z26*$Z$11)+(AA26*$AA$11)+(AB26*$AB$11)+(AC26*$AC$11)+(AD26*$AD$11),2))</f>
        <v>0</v>
      </c>
      <c r="AF26" s="12"/>
      <c r="AG26" s="12"/>
      <c r="AH26" s="12"/>
      <c r="AI26" s="12"/>
      <c r="AJ26" s="12"/>
      <c r="AK26" s="46">
        <f>IF(OR($G$4="MEDIA",$G$4="BASICA - TERCER CICLO"),ROUND(((AF26*$AF$11)+(AG26*$AG$11)+(AH26*$AH$11)+(AI26*$AI$11)+(AJ26*$AJ$11)*100)/35%,2),ROUND((AF26*$AF$11)+(AG26*$AG$11)+(AH26*$AH$11)+(AI26*$AI$11)+(AJ26*$AJ$11),2))</f>
        <v>0</v>
      </c>
      <c r="AL26" s="12"/>
      <c r="AM26" s="12"/>
      <c r="AN26" s="12"/>
      <c r="AO26" s="46">
        <f>IF(OR($G$4="MEDIA",$G$4="BASICA - TERCER CICLO"),ROUND(((AL26*$AL$11)+(AM26*$AM$11)+(AN26*$AN$11)*100)/30%,2),ROUND(((AL26*$AL$11)+(AM26*$AM$11)+(AN26*$AN$11)*100)/30%,2))</f>
        <v>0</v>
      </c>
      <c r="AP26" s="12"/>
      <c r="AQ26" s="14">
        <f>IF(OR($G$4="MEDIA",$G$4="BASICA - TERCER CICLO"),ROUND((AP26*$AP$11),2),ROUND((AP26*$AP$11),0))</f>
        <v>0</v>
      </c>
      <c r="AR26" s="47">
        <f>ROUND((AE26+AK26+AO26)/3,1)</f>
        <v>0</v>
      </c>
      <c r="AS26" s="12"/>
      <c r="AT26" s="12"/>
      <c r="AU26" s="12"/>
      <c r="AV26" s="12"/>
      <c r="AW26" s="12"/>
      <c r="AX26" s="46">
        <f>IF(OR($G$4="MEDIA",$G$4="BASICA - TERCER CICLO"),ROUND(((AS26*$AS$11)+(AT26*$AT$11)+(AU26*$AU$11)+(AV26*$AV$11)+(AW26*$AW$11)*100)/35%,2),ROUND((AS26*$AS$11)+(AT26*$AT$11)+(AU26*$AU$11)+(AV26*$AV$11)+(AW26*$AW$11),2))</f>
        <v>0</v>
      </c>
      <c r="AY26" s="12"/>
      <c r="AZ26" s="12"/>
      <c r="BA26" s="12"/>
      <c r="BB26" s="12"/>
      <c r="BC26" s="12"/>
      <c r="BD26" s="46">
        <f>IF(OR($G$4="MEDIA",$G$4="BASICA - TERCER CICLO"),ROUND(((AY26*$AY$11)+(AZ26*$AZ$11)+(BA26*$BA$11)+(BB26*$BB$11)+(BC26*$BC$11)*100)/35%,2),ROUND((AY26*$AY$11)+(AZ26*$AZ$11)+(BA26*$BA$11)+(BB26*$BB$11)+(BC26*$BC$11),2))</f>
        <v>0</v>
      </c>
      <c r="BE26" s="12"/>
      <c r="BF26" s="12"/>
      <c r="BG26" s="12"/>
      <c r="BH26" s="46">
        <f>IF(OR($G$4="MEDIA",$G$4="BASICA - TERCER CICLO"),ROUND(((BE26*$BE$11)+(BF26*$BF$11)+(BG26*$BG$11)*100)/30%,2),ROUND(((BE26*$BE$11)+(BF26*$BF$11)+(BG26*$BG$11)*100)/30%,2))</f>
        <v>0</v>
      </c>
      <c r="BI26" s="12"/>
      <c r="BJ26" s="14">
        <f>IF(OR($G$4="MEDIA",$G$4="BASICA - TERCER CICLO"),ROUND((BI26*$BI$11),2),ROUND((BI26*$BI$11),0))</f>
        <v>0</v>
      </c>
      <c r="BK26" s="47">
        <f>ROUND((AX26+BD26+BH26)/3,1)</f>
        <v>0</v>
      </c>
      <c r="BL26" s="12"/>
      <c r="BM26" s="12"/>
      <c r="BN26" s="12"/>
      <c r="BO26" s="12"/>
      <c r="BP26" s="12"/>
      <c r="BQ26" s="13">
        <f>IF(OR($G$4="MEDIA",$G$4="BASICA - TERCER CICLO"),ROUND(((BL26*$BL$11)+(BM26*$BM$11)+(BN26*$BN$11)+(BO26*$BO$11)+(BP26*$BP$11)*100)/35%,2),ROUND(((BL26*$BL$11)+(BM26*$BM$11)+(BN26*$BN$11)+(BO26*$BO$11)+(BP26*$BP$11)*100)/35%,2))</f>
        <v>0</v>
      </c>
      <c r="BR26" s="12"/>
      <c r="BS26" s="12"/>
      <c r="BT26" s="12"/>
      <c r="BU26" s="12"/>
      <c r="BV26" s="12"/>
      <c r="BW26" s="13">
        <f>IF(OR($G$4="MEDIA",$G$4="BASICA - TERCER CICLO"),ROUND(((BR26*$BR$11)+(BS26*$BS$11)+(BT26*$BT$11)+(BU26*$BU$11)+(BV26*$BV$11)*100)/35%,2),ROUND(((BR26*$BR$11)+(BS26*$BS$11)+(BT26*$BT$11)+(BU26*$BU$11)+(BV26*$BP$11)*100)/35%,2))</f>
        <v>0</v>
      </c>
      <c r="BX26" s="12"/>
      <c r="BY26" s="12"/>
      <c r="BZ26" s="12"/>
      <c r="CA26" s="13">
        <f>IF(OR($G$4="MEDIA",$G$4="BASICA - TERCER CICLO"),ROUND(((BX26*$BX$11)+(BY26*$BY$11)+(BZ26*$BZ$11)*100)/30%,2),ROUND(((BX26*$BX$11)+(BY26*$BY$11)+(BZ26*$BZ$11)*100)/30%,2))</f>
        <v>0</v>
      </c>
      <c r="CB26" s="12"/>
      <c r="CC26" s="14">
        <f>IF(OR($G$4="MEDIA",$G$4="BASICA - TERCER CICLO"),ROUND((CB26*$BI$11),2),ROUND((CB26*$BI$11),0))</f>
        <v>0</v>
      </c>
      <c r="CD26" s="28">
        <f>IF(OR($G$4="MEDIA",$G$4="BASICA - TERCER CICLO"),ROUND((BQ26+BW26+CA26+CC26),1),IF($G$4="BASICA",ROUND((BQ26+BW26+CA26+CC26),0),ROUND((BQ26+BW26+CA26+CC26),1)))</f>
        <v>0</v>
      </c>
      <c r="CE26" s="28">
        <f>IF($G$4 = "MEDIA",ROUND(((Y26+AR26+BK26+CD26)/4),0),ROUND(((Y26+AR26+BK26)/3),0))</f>
        <v>0</v>
      </c>
      <c r="CF26" s="21"/>
      <c r="CG26" s="28">
        <f>IF(AND(CE26&lt;5,$G$4="BASICA"),ROUND((CE26+CF26)/2,0),IF(AND(CE26&lt;6,$G$4="MEDIA"),ROUND((CE26+CF26)/2,0),CE26))</f>
        <v>0</v>
      </c>
      <c r="CH26" s="16" t="str">
        <f>IF($G$4="MEDIA",IF(CG26&gt;=6,"Aprobado","Reprobado"),IF(CG26&gt;=5,"Aprobado","Reprobado"))</f>
        <v>Reprobado</v>
      </c>
    </row>
    <row r="27" spans="1:86" customHeight="1" ht="20.25">
      <c r="A27" s="39">
        <v>15</v>
      </c>
      <c r="B27" s="2">
        <v>10417505</v>
      </c>
      <c r="C27" s="2">
        <v>5762</v>
      </c>
      <c r="D27" s="2">
        <v>26995</v>
      </c>
      <c r="E27" s="2" t="s">
        <v>52</v>
      </c>
      <c r="F27" s="40" t="s">
        <v>37</v>
      </c>
      <c r="G27" s="31"/>
      <c r="H27" s="7"/>
      <c r="I27" s="7"/>
      <c r="J27" s="7"/>
      <c r="K27" s="7"/>
      <c r="L27" s="46">
        <f>IF(OR($G$4="MEDIA",$G$4="BASICA - TERCER CICLO"),ROUND(((G27*$G$11)+(H27*$H$11)+(I27*$I$11)+(J27*$J$11)+(K27*$K$11)*100)/35%,2),ROUND((G27*$G$11)+(H27*$H$11)+(I27*$I$11)+(J27*$J$11)+(K27*$K$11),2))</f>
        <v>0</v>
      </c>
      <c r="M27" s="7"/>
      <c r="N27" s="7"/>
      <c r="O27" s="7"/>
      <c r="P27" s="7"/>
      <c r="Q27" s="7"/>
      <c r="R27" s="46">
        <f>IF(OR($G$4="MEDIA",$G$4="BASICA - TERCER CICLO"),ROUND(((M27*$M$11)+(N27*$N$11)+(O27*$O$11)+(P27*$P$11)+(Q27*$Q$11)*100)/35%,2),ROUND((M27*$M$11)+(N27*$N$11)+(O27*$O$11)+(P27*$P$11)+(Q27*$Q$11),2))</f>
        <v>0</v>
      </c>
      <c r="S27" s="7"/>
      <c r="T27" s="7"/>
      <c r="U27" s="7"/>
      <c r="V27" s="13">
        <f>IF(OR($G$4="MEDIA",$G$4="BASICA - TERCER CICLO"),ROUND(((S27*$S$11)+(T27*$T$11)+(U27*$U$11)*100)/30%,2),ROUND(((S27*$S$11)+(T27*$T$11)+(U27*$U$11)*100)/30%,2))</f>
        <v>0</v>
      </c>
      <c r="W27" s="7"/>
      <c r="X27" s="14">
        <f>IF(OR($G$4="MEDIA",$G$4="BASICA - TERCER CICLO"),ROUND((W27*$W$11),2),ROUND((W27*$W$11),0))</f>
        <v>0</v>
      </c>
      <c r="Y27" s="47">
        <f>ROUND((L27+R27+V27)/3,1)</f>
        <v>0</v>
      </c>
      <c r="Z27" s="7"/>
      <c r="AA27" s="7"/>
      <c r="AB27" s="7"/>
      <c r="AC27" s="7"/>
      <c r="AD27" s="7"/>
      <c r="AE27" s="46">
        <f>IF(OR($G$4="MEDIA",$G$4="BASICA - TERCER CICLO"),ROUND(((Z27*$Z$11)+(AA27*$AA$11)+(AB27*$AB$11)+(AC27*$AC$11)+(AD27*$AD$11)*100)/35%,2),ROUND((Z27*$Z$11)+(AA27*$AA$11)+(AB27*$AB$11)+(AC27*$AC$11)+(AD27*$AD$11),2))</f>
        <v>0</v>
      </c>
      <c r="AF27" s="7"/>
      <c r="AG27" s="7"/>
      <c r="AH27" s="7"/>
      <c r="AI27" s="7"/>
      <c r="AJ27" s="7"/>
      <c r="AK27" s="46">
        <f>IF(OR($G$4="MEDIA",$G$4="BASICA - TERCER CICLO"),ROUND(((AF27*$AF$11)+(AG27*$AG$11)+(AH27*$AH$11)+(AI27*$AI$11)+(AJ27*$AJ$11)*100)/35%,2),ROUND((AF27*$AF$11)+(AG27*$AG$11)+(AH27*$AH$11)+(AI27*$AI$11)+(AJ27*$AJ$11),2))</f>
        <v>0</v>
      </c>
      <c r="AL27" s="7"/>
      <c r="AM27" s="7"/>
      <c r="AN27" s="7"/>
      <c r="AO27" s="46">
        <f>IF(OR($G$4="MEDIA",$G$4="BASICA - TERCER CICLO"),ROUND(((AL27*$AL$11)+(AM27*$AM$11)+(AN27*$AN$11)*100)/30%,2),ROUND(((AL27*$AL$11)+(AM27*$AM$11)+(AN27*$AN$11)*100)/30%,2))</f>
        <v>0</v>
      </c>
      <c r="AP27" s="7"/>
      <c r="AQ27" s="14">
        <f>IF(OR($G$4="MEDIA",$G$4="BASICA - TERCER CICLO"),ROUND((AP27*$AP$11),2),ROUND((AP27*$AP$11),0))</f>
        <v>0</v>
      </c>
      <c r="AR27" s="47">
        <f>ROUND((AE27+AK27+AO27)/3,1)</f>
        <v>0</v>
      </c>
      <c r="AS27" s="7"/>
      <c r="AT27" s="7"/>
      <c r="AU27" s="7"/>
      <c r="AV27" s="7"/>
      <c r="AW27" s="7"/>
      <c r="AX27" s="46">
        <f>IF(OR($G$4="MEDIA",$G$4="BASICA - TERCER CICLO"),ROUND(((AS27*$AS$11)+(AT27*$AT$11)+(AU27*$AU$11)+(AV27*$AV$11)+(AW27*$AW$11)*100)/35%,2),ROUND((AS27*$AS$11)+(AT27*$AT$11)+(AU27*$AU$11)+(AV27*$AV$11)+(AW27*$AW$11),2))</f>
        <v>0</v>
      </c>
      <c r="AY27" s="7"/>
      <c r="AZ27" s="7"/>
      <c r="BA27" s="7"/>
      <c r="BB27" s="7"/>
      <c r="BC27" s="7"/>
      <c r="BD27" s="46">
        <f>IF(OR($G$4="MEDIA",$G$4="BASICA - TERCER CICLO"),ROUND(((AY27*$AY$11)+(AZ27*$AZ$11)+(BA27*$BA$11)+(BB27*$BB$11)+(BC27*$BC$11)*100)/35%,2),ROUND((AY27*$AY$11)+(AZ27*$AZ$11)+(BA27*$BA$11)+(BB27*$BB$11)+(BC27*$BC$11),2))</f>
        <v>0</v>
      </c>
      <c r="BE27" s="7"/>
      <c r="BF27" s="7"/>
      <c r="BG27" s="7"/>
      <c r="BH27" s="46">
        <f>IF(OR($G$4="MEDIA",$G$4="BASICA - TERCER CICLO"),ROUND(((BE27*$BE$11)+(BF27*$BF$11)+(BG27*$BG$11)*100)/30%,2),ROUND(((BE27*$BE$11)+(BF27*$BF$11)+(BG27*$BG$11)*100)/30%,2))</f>
        <v>0</v>
      </c>
      <c r="BI27" s="7"/>
      <c r="BJ27" s="14">
        <f>IF(OR($G$4="MEDIA",$G$4="BASICA - TERCER CICLO"),ROUND((BI27*$BI$11),2),ROUND((BI27*$BI$11),0))</f>
        <v>0</v>
      </c>
      <c r="BK27" s="47">
        <f>ROUND((AX27+BD27+BH27)/3,1)</f>
        <v>0</v>
      </c>
      <c r="BL27" s="7"/>
      <c r="BM27" s="7"/>
      <c r="BN27" s="7"/>
      <c r="BO27" s="7"/>
      <c r="BP27" s="7"/>
      <c r="BQ27" s="13">
        <f>IF(OR($G$4="MEDIA",$G$4="BASICA - TERCER CICLO"),ROUND(((BL27*$BL$11)+(BM27*$BM$11)+(BN27*$BN$11)+(BO27*$BO$11)+(BP27*$BP$11)*100)/35%,2),ROUND(((BL27*$BL$11)+(BM27*$BM$11)+(BN27*$BN$11)+(BO27*$BO$11)+(BP27*$BP$11)*100)/35%,2))</f>
        <v>0</v>
      </c>
      <c r="BR27" s="7"/>
      <c r="BS27" s="7"/>
      <c r="BT27" s="7"/>
      <c r="BU27" s="7"/>
      <c r="BV27" s="7"/>
      <c r="BW27" s="13">
        <f>IF(OR($G$4="MEDIA",$G$4="BASICA - TERCER CICLO"),ROUND(((BR27*$BR$11)+(BS27*$BS$11)+(BT27*$BT$11)+(BU27*$BU$11)+(BV27*$BV$11)*100)/35%,2),ROUND(((BR27*$BR$11)+(BS27*$BS$11)+(BT27*$BT$11)+(BU27*$BU$11)+(BV27*$BP$11)*100)/35%,2))</f>
        <v>0</v>
      </c>
      <c r="BX27" s="7"/>
      <c r="BY27" s="7"/>
      <c r="BZ27" s="7"/>
      <c r="CA27" s="13">
        <f>IF(OR($G$4="MEDIA",$G$4="BASICA - TERCER CICLO"),ROUND(((BX27*$BX$11)+(BY27*$BY$11)+(BZ27*$BZ$11)*100)/30%,2),ROUND(((BX27*$BX$11)+(BY27*$BY$11)+(BZ27*$BZ$11)*100)/30%,2))</f>
        <v>0</v>
      </c>
      <c r="CB27" s="7"/>
      <c r="CC27" s="14">
        <f>IF(OR($G$4="MEDIA",$G$4="BASICA - TERCER CICLO"),ROUND((CB27*$BI$11),2),ROUND((CB27*$BI$11),0))</f>
        <v>0</v>
      </c>
      <c r="CD27" s="28">
        <f>IF(OR($G$4="MEDIA",$G$4="BASICA - TERCER CICLO"),ROUND((BQ27+BW27+CA27+CC27),1),IF($G$4="BASICA",ROUND((BQ27+BW27+CA27+CC27),0),ROUND((BQ27+BW27+CA27+CC27),1)))</f>
        <v>0</v>
      </c>
      <c r="CE27" s="28">
        <f>IF($G$4 = "MEDIA",ROUND(((Y27+AR27+BK27+CD27)/4),0),ROUND(((Y27+AR27+BK27)/3),0))</f>
        <v>0</v>
      </c>
      <c r="CF27" s="20"/>
      <c r="CG27" s="28">
        <f>IF(AND(CE27&lt;5,$G$4="BASICA"),ROUND((CE27+CF27)/2,0),IF(AND(CE27&lt;6,$G$4="MEDIA"),ROUND((CE27+CF27)/2,0),CE27))</f>
        <v>0</v>
      </c>
      <c r="CH27" s="17" t="str">
        <f>IF($G$4="MEDIA",IF(CG27&gt;=6,"Aprobado","Reprobado"),IF(CG27&gt;=5,"Aprobado","Reprobado"))</f>
        <v>Reprobado</v>
      </c>
    </row>
    <row r="28" spans="1:86" customHeight="1" ht="20.25">
      <c r="A28" s="41">
        <v>16</v>
      </c>
      <c r="B28" s="3">
        <v>10335733</v>
      </c>
      <c r="C28" s="3">
        <v>5123</v>
      </c>
      <c r="D28" s="3">
        <v>26960</v>
      </c>
      <c r="E28" s="3" t="s">
        <v>53</v>
      </c>
      <c r="F28" s="42" t="s">
        <v>37</v>
      </c>
      <c r="G28" s="32"/>
      <c r="H28" s="12"/>
      <c r="I28" s="12"/>
      <c r="J28" s="12"/>
      <c r="K28" s="12"/>
      <c r="L28" s="46">
        <f>IF(OR($G$4="MEDIA",$G$4="BASICA - TERCER CICLO"),ROUND(((G28*$G$11)+(H28*$H$11)+(I28*$I$11)+(J28*$J$11)+(K28*$K$11)*100)/35%,2),ROUND((G28*$G$11)+(H28*$H$11)+(I28*$I$11)+(J28*$J$11)+(K28*$K$11),2))</f>
        <v>0</v>
      </c>
      <c r="M28" s="12"/>
      <c r="N28" s="12"/>
      <c r="O28" s="12"/>
      <c r="P28" s="12"/>
      <c r="Q28" s="12"/>
      <c r="R28" s="46">
        <f>IF(OR($G$4="MEDIA",$G$4="BASICA - TERCER CICLO"),ROUND(((M28*$M$11)+(N28*$N$11)+(O28*$O$11)+(P28*$P$11)+(Q28*$Q$11)*100)/35%,2),ROUND((M28*$M$11)+(N28*$N$11)+(O28*$O$11)+(P28*$P$11)+(Q28*$Q$11),2))</f>
        <v>0</v>
      </c>
      <c r="S28" s="12"/>
      <c r="T28" s="12"/>
      <c r="U28" s="12"/>
      <c r="V28" s="13">
        <f>IF(OR($G$4="MEDIA",$G$4="BASICA - TERCER CICLO"),ROUND(((S28*$S$11)+(T28*$T$11)+(U28*$U$11)*100)/30%,2),ROUND(((S28*$S$11)+(T28*$T$11)+(U28*$U$11)*100)/30%,2))</f>
        <v>0</v>
      </c>
      <c r="W28" s="12"/>
      <c r="X28" s="14">
        <f>IF(OR($G$4="MEDIA",$G$4="BASICA - TERCER CICLO"),ROUND((W28*$W$11),2),ROUND((W28*$W$11),0))</f>
        <v>0</v>
      </c>
      <c r="Y28" s="47">
        <f>ROUND((L28+R28+V28)/3,1)</f>
        <v>0</v>
      </c>
      <c r="Z28" s="12"/>
      <c r="AA28" s="12"/>
      <c r="AB28" s="12"/>
      <c r="AC28" s="12"/>
      <c r="AD28" s="12"/>
      <c r="AE28" s="46">
        <f>IF(OR($G$4="MEDIA",$G$4="BASICA - TERCER CICLO"),ROUND(((Z28*$Z$11)+(AA28*$AA$11)+(AB28*$AB$11)+(AC28*$AC$11)+(AD28*$AD$11)*100)/35%,2),ROUND((Z28*$Z$11)+(AA28*$AA$11)+(AB28*$AB$11)+(AC28*$AC$11)+(AD28*$AD$11),2))</f>
        <v>0</v>
      </c>
      <c r="AF28" s="12"/>
      <c r="AG28" s="12"/>
      <c r="AH28" s="12"/>
      <c r="AI28" s="12"/>
      <c r="AJ28" s="12"/>
      <c r="AK28" s="46">
        <f>IF(OR($G$4="MEDIA",$G$4="BASICA - TERCER CICLO"),ROUND(((AF28*$AF$11)+(AG28*$AG$11)+(AH28*$AH$11)+(AI28*$AI$11)+(AJ28*$AJ$11)*100)/35%,2),ROUND((AF28*$AF$11)+(AG28*$AG$11)+(AH28*$AH$11)+(AI28*$AI$11)+(AJ28*$AJ$11),2))</f>
        <v>0</v>
      </c>
      <c r="AL28" s="12"/>
      <c r="AM28" s="12"/>
      <c r="AN28" s="12"/>
      <c r="AO28" s="46">
        <f>IF(OR($G$4="MEDIA",$G$4="BASICA - TERCER CICLO"),ROUND(((AL28*$AL$11)+(AM28*$AM$11)+(AN28*$AN$11)*100)/30%,2),ROUND(((AL28*$AL$11)+(AM28*$AM$11)+(AN28*$AN$11)*100)/30%,2))</f>
        <v>0</v>
      </c>
      <c r="AP28" s="12"/>
      <c r="AQ28" s="14">
        <f>IF(OR($G$4="MEDIA",$G$4="BASICA - TERCER CICLO"),ROUND((AP28*$AP$11),2),ROUND((AP28*$AP$11),0))</f>
        <v>0</v>
      </c>
      <c r="AR28" s="47">
        <f>ROUND((AE28+AK28+AO28)/3,1)</f>
        <v>0</v>
      </c>
      <c r="AS28" s="12"/>
      <c r="AT28" s="12"/>
      <c r="AU28" s="12"/>
      <c r="AV28" s="12"/>
      <c r="AW28" s="12"/>
      <c r="AX28" s="46">
        <f>IF(OR($G$4="MEDIA",$G$4="BASICA - TERCER CICLO"),ROUND(((AS28*$AS$11)+(AT28*$AT$11)+(AU28*$AU$11)+(AV28*$AV$11)+(AW28*$AW$11)*100)/35%,2),ROUND((AS28*$AS$11)+(AT28*$AT$11)+(AU28*$AU$11)+(AV28*$AV$11)+(AW28*$AW$11),2))</f>
        <v>0</v>
      </c>
      <c r="AY28" s="12"/>
      <c r="AZ28" s="12"/>
      <c r="BA28" s="12"/>
      <c r="BB28" s="12"/>
      <c r="BC28" s="12"/>
      <c r="BD28" s="46">
        <f>IF(OR($G$4="MEDIA",$G$4="BASICA - TERCER CICLO"),ROUND(((AY28*$AY$11)+(AZ28*$AZ$11)+(BA28*$BA$11)+(BB28*$BB$11)+(BC28*$BC$11)*100)/35%,2),ROUND((AY28*$AY$11)+(AZ28*$AZ$11)+(BA28*$BA$11)+(BB28*$BB$11)+(BC28*$BC$11),2))</f>
        <v>0</v>
      </c>
      <c r="BE28" s="12"/>
      <c r="BF28" s="12"/>
      <c r="BG28" s="12"/>
      <c r="BH28" s="46">
        <f>IF(OR($G$4="MEDIA",$G$4="BASICA - TERCER CICLO"),ROUND(((BE28*$BE$11)+(BF28*$BF$11)+(BG28*$BG$11)*100)/30%,2),ROUND(((BE28*$BE$11)+(BF28*$BF$11)+(BG28*$BG$11)*100)/30%,2))</f>
        <v>0</v>
      </c>
      <c r="BI28" s="12"/>
      <c r="BJ28" s="14">
        <f>IF(OR($G$4="MEDIA",$G$4="BASICA - TERCER CICLO"),ROUND((BI28*$BI$11),2),ROUND((BI28*$BI$11),0))</f>
        <v>0</v>
      </c>
      <c r="BK28" s="47">
        <f>ROUND((AX28+BD28+BH28)/3,1)</f>
        <v>0</v>
      </c>
      <c r="BL28" s="12"/>
      <c r="BM28" s="12"/>
      <c r="BN28" s="12"/>
      <c r="BO28" s="12"/>
      <c r="BP28" s="12"/>
      <c r="BQ28" s="13">
        <f>IF(OR($G$4="MEDIA",$G$4="BASICA - TERCER CICLO"),ROUND(((BL28*$BL$11)+(BM28*$BM$11)+(BN28*$BN$11)+(BO28*$BO$11)+(BP28*$BP$11)*100)/35%,2),ROUND(((BL28*$BL$11)+(BM28*$BM$11)+(BN28*$BN$11)+(BO28*$BO$11)+(BP28*$BP$11)*100)/35%,2))</f>
        <v>0</v>
      </c>
      <c r="BR28" s="12"/>
      <c r="BS28" s="12"/>
      <c r="BT28" s="12"/>
      <c r="BU28" s="12"/>
      <c r="BV28" s="12"/>
      <c r="BW28" s="13">
        <f>IF(OR($G$4="MEDIA",$G$4="BASICA - TERCER CICLO"),ROUND(((BR28*$BR$11)+(BS28*$BS$11)+(BT28*$BT$11)+(BU28*$BU$11)+(BV28*$BV$11)*100)/35%,2),ROUND(((BR28*$BR$11)+(BS28*$BS$11)+(BT28*$BT$11)+(BU28*$BU$11)+(BV28*$BP$11)*100)/35%,2))</f>
        <v>0</v>
      </c>
      <c r="BX28" s="12"/>
      <c r="BY28" s="12"/>
      <c r="BZ28" s="12"/>
      <c r="CA28" s="13">
        <f>IF(OR($G$4="MEDIA",$G$4="BASICA - TERCER CICLO"),ROUND(((BX28*$BX$11)+(BY28*$BY$11)+(BZ28*$BZ$11)*100)/30%,2),ROUND(((BX28*$BX$11)+(BY28*$BY$11)+(BZ28*$BZ$11)*100)/30%,2))</f>
        <v>0</v>
      </c>
      <c r="CB28" s="12"/>
      <c r="CC28" s="14">
        <f>IF(OR($G$4="MEDIA",$G$4="BASICA - TERCER CICLO"),ROUND((CB28*$BI$11),2),ROUND((CB28*$BI$11),0))</f>
        <v>0</v>
      </c>
      <c r="CD28" s="28">
        <f>IF(OR($G$4="MEDIA",$G$4="BASICA - TERCER CICLO"),ROUND((BQ28+BW28+CA28+CC28),1),IF($G$4="BASICA",ROUND((BQ28+BW28+CA28+CC28),0),ROUND((BQ28+BW28+CA28+CC28),1)))</f>
        <v>0</v>
      </c>
      <c r="CE28" s="28">
        <f>IF($G$4 = "MEDIA",ROUND(((Y28+AR28+BK28+CD28)/4),0),ROUND(((Y28+AR28+BK28)/3),0))</f>
        <v>0</v>
      </c>
      <c r="CF28" s="21"/>
      <c r="CG28" s="28">
        <f>IF(AND(CE28&lt;5,$G$4="BASICA"),ROUND((CE28+CF28)/2,0),IF(AND(CE28&lt;6,$G$4="MEDIA"),ROUND((CE28+CF28)/2,0),CE28))</f>
        <v>0</v>
      </c>
      <c r="CH28" s="16" t="str">
        <f>IF($G$4="MEDIA",IF(CG28&gt;=6,"Aprobado","Reprobado"),IF(CG28&gt;=5,"Aprobado","Reprobado"))</f>
        <v>Reprobado</v>
      </c>
    </row>
    <row r="29" spans="1:86" customHeight="1" ht="20.25">
      <c r="A29" s="39">
        <v>17</v>
      </c>
      <c r="B29" s="2">
        <v>10282529</v>
      </c>
      <c r="C29" s="2">
        <v>4391</v>
      </c>
      <c r="D29" s="2">
        <v>26961</v>
      </c>
      <c r="E29" s="2" t="s">
        <v>54</v>
      </c>
      <c r="F29" s="40" t="s">
        <v>39</v>
      </c>
      <c r="G29" s="31"/>
      <c r="H29" s="7"/>
      <c r="I29" s="7"/>
      <c r="J29" s="7"/>
      <c r="K29" s="7"/>
      <c r="L29" s="46">
        <f>IF(OR($G$4="MEDIA",$G$4="BASICA - TERCER CICLO"),ROUND(((G29*$G$11)+(H29*$H$11)+(I29*$I$11)+(J29*$J$11)+(K29*$K$11)*100)/35%,2),ROUND((G29*$G$11)+(H29*$H$11)+(I29*$I$11)+(J29*$J$11)+(K29*$K$11),2))</f>
        <v>0</v>
      </c>
      <c r="M29" s="7"/>
      <c r="N29" s="7"/>
      <c r="O29" s="7"/>
      <c r="P29" s="7"/>
      <c r="Q29" s="7"/>
      <c r="R29" s="46">
        <f>IF(OR($G$4="MEDIA",$G$4="BASICA - TERCER CICLO"),ROUND(((M29*$M$11)+(N29*$N$11)+(O29*$O$11)+(P29*$P$11)+(Q29*$Q$11)*100)/35%,2),ROUND((M29*$M$11)+(N29*$N$11)+(O29*$O$11)+(P29*$P$11)+(Q29*$Q$11),2))</f>
        <v>0</v>
      </c>
      <c r="S29" s="7"/>
      <c r="T29" s="7"/>
      <c r="U29" s="7"/>
      <c r="V29" s="13">
        <f>IF(OR($G$4="MEDIA",$G$4="BASICA - TERCER CICLO"),ROUND(((S29*$S$11)+(T29*$T$11)+(U29*$U$11)*100)/30%,2),ROUND(((S29*$S$11)+(T29*$T$11)+(U29*$U$11)*100)/30%,2))</f>
        <v>0</v>
      </c>
      <c r="W29" s="7"/>
      <c r="X29" s="14">
        <f>IF(OR($G$4="MEDIA",$G$4="BASICA - TERCER CICLO"),ROUND((W29*$W$11),2),ROUND((W29*$W$11),0))</f>
        <v>0</v>
      </c>
      <c r="Y29" s="47">
        <f>ROUND((L29+R29+V29)/3,1)</f>
        <v>0</v>
      </c>
      <c r="Z29" s="7"/>
      <c r="AA29" s="7"/>
      <c r="AB29" s="7"/>
      <c r="AC29" s="7"/>
      <c r="AD29" s="7"/>
      <c r="AE29" s="46">
        <f>IF(OR($G$4="MEDIA",$G$4="BASICA - TERCER CICLO"),ROUND(((Z29*$Z$11)+(AA29*$AA$11)+(AB29*$AB$11)+(AC29*$AC$11)+(AD29*$AD$11)*100)/35%,2),ROUND((Z29*$Z$11)+(AA29*$AA$11)+(AB29*$AB$11)+(AC29*$AC$11)+(AD29*$AD$11),2))</f>
        <v>0</v>
      </c>
      <c r="AF29" s="7"/>
      <c r="AG29" s="7"/>
      <c r="AH29" s="7"/>
      <c r="AI29" s="7"/>
      <c r="AJ29" s="7"/>
      <c r="AK29" s="46">
        <f>IF(OR($G$4="MEDIA",$G$4="BASICA - TERCER CICLO"),ROUND(((AF29*$AF$11)+(AG29*$AG$11)+(AH29*$AH$11)+(AI29*$AI$11)+(AJ29*$AJ$11)*100)/35%,2),ROUND((AF29*$AF$11)+(AG29*$AG$11)+(AH29*$AH$11)+(AI29*$AI$11)+(AJ29*$AJ$11),2))</f>
        <v>0</v>
      </c>
      <c r="AL29" s="7"/>
      <c r="AM29" s="7"/>
      <c r="AN29" s="7"/>
      <c r="AO29" s="46">
        <f>IF(OR($G$4="MEDIA",$G$4="BASICA - TERCER CICLO"),ROUND(((AL29*$AL$11)+(AM29*$AM$11)+(AN29*$AN$11)*100)/30%,2),ROUND(((AL29*$AL$11)+(AM29*$AM$11)+(AN29*$AN$11)*100)/30%,2))</f>
        <v>0</v>
      </c>
      <c r="AP29" s="7"/>
      <c r="AQ29" s="14">
        <f>IF(OR($G$4="MEDIA",$G$4="BASICA - TERCER CICLO"),ROUND((AP29*$AP$11),2),ROUND((AP29*$AP$11),0))</f>
        <v>0</v>
      </c>
      <c r="AR29" s="47">
        <f>ROUND((AE29+AK29+AO29)/3,1)</f>
        <v>0</v>
      </c>
      <c r="AS29" s="7"/>
      <c r="AT29" s="7"/>
      <c r="AU29" s="7"/>
      <c r="AV29" s="7"/>
      <c r="AW29" s="7"/>
      <c r="AX29" s="46">
        <f>IF(OR($G$4="MEDIA",$G$4="BASICA - TERCER CICLO"),ROUND(((AS29*$AS$11)+(AT29*$AT$11)+(AU29*$AU$11)+(AV29*$AV$11)+(AW29*$AW$11)*100)/35%,2),ROUND((AS29*$AS$11)+(AT29*$AT$11)+(AU29*$AU$11)+(AV29*$AV$11)+(AW29*$AW$11),2))</f>
        <v>0</v>
      </c>
      <c r="AY29" s="7"/>
      <c r="AZ29" s="7"/>
      <c r="BA29" s="7"/>
      <c r="BB29" s="7"/>
      <c r="BC29" s="7"/>
      <c r="BD29" s="46">
        <f>IF(OR($G$4="MEDIA",$G$4="BASICA - TERCER CICLO"),ROUND(((AY29*$AY$11)+(AZ29*$AZ$11)+(BA29*$BA$11)+(BB29*$BB$11)+(BC29*$BC$11)*100)/35%,2),ROUND((AY29*$AY$11)+(AZ29*$AZ$11)+(BA29*$BA$11)+(BB29*$BB$11)+(BC29*$BC$11),2))</f>
        <v>0</v>
      </c>
      <c r="BE29" s="7"/>
      <c r="BF29" s="7"/>
      <c r="BG29" s="7"/>
      <c r="BH29" s="46">
        <f>IF(OR($G$4="MEDIA",$G$4="BASICA - TERCER CICLO"),ROUND(((BE29*$BE$11)+(BF29*$BF$11)+(BG29*$BG$11)*100)/30%,2),ROUND(((BE29*$BE$11)+(BF29*$BF$11)+(BG29*$BG$11)*100)/30%,2))</f>
        <v>0</v>
      </c>
      <c r="BI29" s="7"/>
      <c r="BJ29" s="14">
        <f>IF(OR($G$4="MEDIA",$G$4="BASICA - TERCER CICLO"),ROUND((BI29*$BI$11),2),ROUND((BI29*$BI$11),0))</f>
        <v>0</v>
      </c>
      <c r="BK29" s="47">
        <f>ROUND((AX29+BD29+BH29)/3,1)</f>
        <v>0</v>
      </c>
      <c r="BL29" s="7"/>
      <c r="BM29" s="7"/>
      <c r="BN29" s="7"/>
      <c r="BO29" s="7"/>
      <c r="BP29" s="7"/>
      <c r="BQ29" s="13">
        <f>IF(OR($G$4="MEDIA",$G$4="BASICA - TERCER CICLO"),ROUND(((BL29*$BL$11)+(BM29*$BM$11)+(BN29*$BN$11)+(BO29*$BO$11)+(BP29*$BP$11)*100)/35%,2),ROUND(((BL29*$BL$11)+(BM29*$BM$11)+(BN29*$BN$11)+(BO29*$BO$11)+(BP29*$BP$11)*100)/35%,2))</f>
        <v>0</v>
      </c>
      <c r="BR29" s="7"/>
      <c r="BS29" s="7"/>
      <c r="BT29" s="7"/>
      <c r="BU29" s="7"/>
      <c r="BV29" s="7"/>
      <c r="BW29" s="13">
        <f>IF(OR($G$4="MEDIA",$G$4="BASICA - TERCER CICLO"),ROUND(((BR29*$BR$11)+(BS29*$BS$11)+(BT29*$BT$11)+(BU29*$BU$11)+(BV29*$BV$11)*100)/35%,2),ROUND(((BR29*$BR$11)+(BS29*$BS$11)+(BT29*$BT$11)+(BU29*$BU$11)+(BV29*$BP$11)*100)/35%,2))</f>
        <v>0</v>
      </c>
      <c r="BX29" s="7"/>
      <c r="BY29" s="7"/>
      <c r="BZ29" s="7"/>
      <c r="CA29" s="13">
        <f>IF(OR($G$4="MEDIA",$G$4="BASICA - TERCER CICLO"),ROUND(((BX29*$BX$11)+(BY29*$BY$11)+(BZ29*$BZ$11)*100)/30%,2),ROUND(((BX29*$BX$11)+(BY29*$BY$11)+(BZ29*$BZ$11)*100)/30%,2))</f>
        <v>0</v>
      </c>
      <c r="CB29" s="7"/>
      <c r="CC29" s="14">
        <f>IF(OR($G$4="MEDIA",$G$4="BASICA - TERCER CICLO"),ROUND((CB29*$BI$11),2),ROUND((CB29*$BI$11),0))</f>
        <v>0</v>
      </c>
      <c r="CD29" s="28">
        <f>IF(OR($G$4="MEDIA",$G$4="BASICA - TERCER CICLO"),ROUND((BQ29+BW29+CA29+CC29),1),IF($G$4="BASICA",ROUND((BQ29+BW29+CA29+CC29),0),ROUND((BQ29+BW29+CA29+CC29),1)))</f>
        <v>0</v>
      </c>
      <c r="CE29" s="28">
        <f>IF($G$4 = "MEDIA",ROUND(((Y29+AR29+BK29+CD29)/4),0),ROUND(((Y29+AR29+BK29)/3),0))</f>
        <v>0</v>
      </c>
      <c r="CF29" s="20"/>
      <c r="CG29" s="28">
        <f>IF(AND(CE29&lt;5,$G$4="BASICA"),ROUND((CE29+CF29)/2,0),IF(AND(CE29&lt;6,$G$4="MEDIA"),ROUND((CE29+CF29)/2,0),CE29))</f>
        <v>0</v>
      </c>
      <c r="CH29" s="17" t="str">
        <f>IF($G$4="MEDIA",IF(CG29&gt;=6,"Aprobado","Reprobado"),IF(CG29&gt;=5,"Aprobado","Reprobado"))</f>
        <v>Reprobado</v>
      </c>
    </row>
    <row r="30" spans="1:86" customHeight="1" ht="20.25">
      <c r="A30" s="41">
        <v>18</v>
      </c>
      <c r="B30" s="3">
        <v>10334591</v>
      </c>
      <c r="C30" s="3">
        <v>4884</v>
      </c>
      <c r="D30" s="3">
        <v>26962</v>
      </c>
      <c r="E30" s="3" t="s">
        <v>55</v>
      </c>
      <c r="F30" s="42" t="s">
        <v>37</v>
      </c>
      <c r="G30" s="32"/>
      <c r="H30" s="12"/>
      <c r="I30" s="12"/>
      <c r="J30" s="12"/>
      <c r="K30" s="12"/>
      <c r="L30" s="46">
        <f>IF(OR($G$4="MEDIA",$G$4="BASICA - TERCER CICLO"),ROUND(((G30*$G$11)+(H30*$H$11)+(I30*$I$11)+(J30*$J$11)+(K30*$K$11)*100)/35%,2),ROUND((G30*$G$11)+(H30*$H$11)+(I30*$I$11)+(J30*$J$11)+(K30*$K$11),2))</f>
        <v>0</v>
      </c>
      <c r="M30" s="12"/>
      <c r="N30" s="12"/>
      <c r="O30" s="12"/>
      <c r="P30" s="12"/>
      <c r="Q30" s="12"/>
      <c r="R30" s="46">
        <f>IF(OR($G$4="MEDIA",$G$4="BASICA - TERCER CICLO"),ROUND(((M30*$M$11)+(N30*$N$11)+(O30*$O$11)+(P30*$P$11)+(Q30*$Q$11)*100)/35%,2),ROUND((M30*$M$11)+(N30*$N$11)+(O30*$O$11)+(P30*$P$11)+(Q30*$Q$11),2))</f>
        <v>0</v>
      </c>
      <c r="S30" s="12"/>
      <c r="T30" s="12"/>
      <c r="U30" s="12"/>
      <c r="V30" s="13">
        <f>IF(OR($G$4="MEDIA",$G$4="BASICA - TERCER CICLO"),ROUND(((S30*$S$11)+(T30*$T$11)+(U30*$U$11)*100)/30%,2),ROUND(((S30*$S$11)+(T30*$T$11)+(U30*$U$11)*100)/30%,2))</f>
        <v>0</v>
      </c>
      <c r="W30" s="12"/>
      <c r="X30" s="14">
        <f>IF(OR($G$4="MEDIA",$G$4="BASICA - TERCER CICLO"),ROUND((W30*$W$11),2),ROUND((W30*$W$11),0))</f>
        <v>0</v>
      </c>
      <c r="Y30" s="47">
        <f>ROUND((L30+R30+V30)/3,1)</f>
        <v>0</v>
      </c>
      <c r="Z30" s="12"/>
      <c r="AA30" s="12"/>
      <c r="AB30" s="12"/>
      <c r="AC30" s="12"/>
      <c r="AD30" s="12"/>
      <c r="AE30" s="46">
        <f>IF(OR($G$4="MEDIA",$G$4="BASICA - TERCER CICLO"),ROUND(((Z30*$Z$11)+(AA30*$AA$11)+(AB30*$AB$11)+(AC30*$AC$11)+(AD30*$AD$11)*100)/35%,2),ROUND((Z30*$Z$11)+(AA30*$AA$11)+(AB30*$AB$11)+(AC30*$AC$11)+(AD30*$AD$11),2))</f>
        <v>0</v>
      </c>
      <c r="AF30" s="12"/>
      <c r="AG30" s="12"/>
      <c r="AH30" s="12"/>
      <c r="AI30" s="12"/>
      <c r="AJ30" s="12"/>
      <c r="AK30" s="46">
        <f>IF(OR($G$4="MEDIA",$G$4="BASICA - TERCER CICLO"),ROUND(((AF30*$AF$11)+(AG30*$AG$11)+(AH30*$AH$11)+(AI30*$AI$11)+(AJ30*$AJ$11)*100)/35%,2),ROUND((AF30*$AF$11)+(AG30*$AG$11)+(AH30*$AH$11)+(AI30*$AI$11)+(AJ30*$AJ$11),2))</f>
        <v>0</v>
      </c>
      <c r="AL30" s="12"/>
      <c r="AM30" s="12"/>
      <c r="AN30" s="12"/>
      <c r="AO30" s="46">
        <f>IF(OR($G$4="MEDIA",$G$4="BASICA - TERCER CICLO"),ROUND(((AL30*$AL$11)+(AM30*$AM$11)+(AN30*$AN$11)*100)/30%,2),ROUND(((AL30*$AL$11)+(AM30*$AM$11)+(AN30*$AN$11)*100)/30%,2))</f>
        <v>0</v>
      </c>
      <c r="AP30" s="12"/>
      <c r="AQ30" s="14">
        <f>IF(OR($G$4="MEDIA",$G$4="BASICA - TERCER CICLO"),ROUND((AP30*$AP$11),2),ROUND((AP30*$AP$11),0))</f>
        <v>0</v>
      </c>
      <c r="AR30" s="47">
        <f>ROUND((AE30+AK30+AO30)/3,1)</f>
        <v>0</v>
      </c>
      <c r="AS30" s="12"/>
      <c r="AT30" s="12"/>
      <c r="AU30" s="12"/>
      <c r="AV30" s="12"/>
      <c r="AW30" s="12"/>
      <c r="AX30" s="46">
        <f>IF(OR($G$4="MEDIA",$G$4="BASICA - TERCER CICLO"),ROUND(((AS30*$AS$11)+(AT30*$AT$11)+(AU30*$AU$11)+(AV30*$AV$11)+(AW30*$AW$11)*100)/35%,2),ROUND((AS30*$AS$11)+(AT30*$AT$11)+(AU30*$AU$11)+(AV30*$AV$11)+(AW30*$AW$11),2))</f>
        <v>0</v>
      </c>
      <c r="AY30" s="12"/>
      <c r="AZ30" s="12"/>
      <c r="BA30" s="12"/>
      <c r="BB30" s="12"/>
      <c r="BC30" s="12"/>
      <c r="BD30" s="46">
        <f>IF(OR($G$4="MEDIA",$G$4="BASICA - TERCER CICLO"),ROUND(((AY30*$AY$11)+(AZ30*$AZ$11)+(BA30*$BA$11)+(BB30*$BB$11)+(BC30*$BC$11)*100)/35%,2),ROUND((AY30*$AY$11)+(AZ30*$AZ$11)+(BA30*$BA$11)+(BB30*$BB$11)+(BC30*$BC$11),2))</f>
        <v>0</v>
      </c>
      <c r="BE30" s="12"/>
      <c r="BF30" s="12"/>
      <c r="BG30" s="12"/>
      <c r="BH30" s="46">
        <f>IF(OR($G$4="MEDIA",$G$4="BASICA - TERCER CICLO"),ROUND(((BE30*$BE$11)+(BF30*$BF$11)+(BG30*$BG$11)*100)/30%,2),ROUND(((BE30*$BE$11)+(BF30*$BF$11)+(BG30*$BG$11)*100)/30%,2))</f>
        <v>0</v>
      </c>
      <c r="BI30" s="12"/>
      <c r="BJ30" s="14">
        <f>IF(OR($G$4="MEDIA",$G$4="BASICA - TERCER CICLO"),ROUND((BI30*$BI$11),2),ROUND((BI30*$BI$11),0))</f>
        <v>0</v>
      </c>
      <c r="BK30" s="47">
        <f>ROUND((AX30+BD30+BH30)/3,1)</f>
        <v>0</v>
      </c>
      <c r="BL30" s="12"/>
      <c r="BM30" s="12"/>
      <c r="BN30" s="12"/>
      <c r="BO30" s="12"/>
      <c r="BP30" s="12"/>
      <c r="BQ30" s="13">
        <f>IF(OR($G$4="MEDIA",$G$4="BASICA - TERCER CICLO"),ROUND(((BL30*$BL$11)+(BM30*$BM$11)+(BN30*$BN$11)+(BO30*$BO$11)+(BP30*$BP$11)*100)/35%,2),ROUND(((BL30*$BL$11)+(BM30*$BM$11)+(BN30*$BN$11)+(BO30*$BO$11)+(BP30*$BP$11)*100)/35%,2))</f>
        <v>0</v>
      </c>
      <c r="BR30" s="12"/>
      <c r="BS30" s="12"/>
      <c r="BT30" s="12"/>
      <c r="BU30" s="12"/>
      <c r="BV30" s="12"/>
      <c r="BW30" s="13">
        <f>IF(OR($G$4="MEDIA",$G$4="BASICA - TERCER CICLO"),ROUND(((BR30*$BR$11)+(BS30*$BS$11)+(BT30*$BT$11)+(BU30*$BU$11)+(BV30*$BV$11)*100)/35%,2),ROUND(((BR30*$BR$11)+(BS30*$BS$11)+(BT30*$BT$11)+(BU30*$BU$11)+(BV30*$BP$11)*100)/35%,2))</f>
        <v>0</v>
      </c>
      <c r="BX30" s="12"/>
      <c r="BY30" s="12"/>
      <c r="BZ30" s="12"/>
      <c r="CA30" s="13">
        <f>IF(OR($G$4="MEDIA",$G$4="BASICA - TERCER CICLO"),ROUND(((BX30*$BX$11)+(BY30*$BY$11)+(BZ30*$BZ$11)*100)/30%,2),ROUND(((BX30*$BX$11)+(BY30*$BY$11)+(BZ30*$BZ$11)*100)/30%,2))</f>
        <v>0</v>
      </c>
      <c r="CB30" s="12"/>
      <c r="CC30" s="14">
        <f>IF(OR($G$4="MEDIA",$G$4="BASICA - TERCER CICLO"),ROUND((CB30*$BI$11),2),ROUND((CB30*$BI$11),0))</f>
        <v>0</v>
      </c>
      <c r="CD30" s="28">
        <f>IF(OR($G$4="MEDIA",$G$4="BASICA - TERCER CICLO"),ROUND((BQ30+BW30+CA30+CC30),1),IF($G$4="BASICA",ROUND((BQ30+BW30+CA30+CC30),0),ROUND((BQ30+BW30+CA30+CC30),1)))</f>
        <v>0</v>
      </c>
      <c r="CE30" s="28">
        <f>IF($G$4 = "MEDIA",ROUND(((Y30+AR30+BK30+CD30)/4),0),ROUND(((Y30+AR30+BK30)/3),0))</f>
        <v>0</v>
      </c>
      <c r="CF30" s="21"/>
      <c r="CG30" s="28">
        <f>IF(AND(CE30&lt;5,$G$4="BASICA"),ROUND((CE30+CF30)/2,0),IF(AND(CE30&lt;6,$G$4="MEDIA"),ROUND((CE30+CF30)/2,0),CE30))</f>
        <v>0</v>
      </c>
      <c r="CH30" s="16" t="str">
        <f>IF($G$4="MEDIA",IF(CG30&gt;=6,"Aprobado","Reprobado"),IF(CG30&gt;=5,"Aprobado","Reprobado"))</f>
        <v>Reprobado</v>
      </c>
    </row>
    <row r="31" spans="1:86" customHeight="1" ht="20.25">
      <c r="A31" s="39">
        <v>19</v>
      </c>
      <c r="B31" s="2">
        <v>10131393</v>
      </c>
      <c r="C31" s="2">
        <v>5482</v>
      </c>
      <c r="D31" s="2">
        <v>26970</v>
      </c>
      <c r="E31" s="2" t="s">
        <v>56</v>
      </c>
      <c r="F31" s="40" t="s">
        <v>39</v>
      </c>
      <c r="G31" s="31"/>
      <c r="H31" s="7"/>
      <c r="I31" s="7"/>
      <c r="J31" s="7"/>
      <c r="K31" s="7"/>
      <c r="L31" s="46">
        <f>IF(OR($G$4="MEDIA",$G$4="BASICA - TERCER CICLO"),ROUND(((G31*$G$11)+(H31*$H$11)+(I31*$I$11)+(J31*$J$11)+(K31*$K$11)*100)/35%,2),ROUND((G31*$G$11)+(H31*$H$11)+(I31*$I$11)+(J31*$J$11)+(K31*$K$11),2))</f>
        <v>0</v>
      </c>
      <c r="M31" s="7"/>
      <c r="N31" s="7"/>
      <c r="O31" s="7"/>
      <c r="P31" s="7"/>
      <c r="Q31" s="7"/>
      <c r="R31" s="46">
        <f>IF(OR($G$4="MEDIA",$G$4="BASICA - TERCER CICLO"),ROUND(((M31*$M$11)+(N31*$N$11)+(O31*$O$11)+(P31*$P$11)+(Q31*$Q$11)*100)/35%,2),ROUND((M31*$M$11)+(N31*$N$11)+(O31*$O$11)+(P31*$P$11)+(Q31*$Q$11),2))</f>
        <v>0</v>
      </c>
      <c r="S31" s="7"/>
      <c r="T31" s="7"/>
      <c r="U31" s="7"/>
      <c r="V31" s="13">
        <f>IF(OR($G$4="MEDIA",$G$4="BASICA - TERCER CICLO"),ROUND(((S31*$S$11)+(T31*$T$11)+(U31*$U$11)*100)/30%,2),ROUND(((S31*$S$11)+(T31*$T$11)+(U31*$U$11)*100)/30%,2))</f>
        <v>0</v>
      </c>
      <c r="W31" s="7"/>
      <c r="X31" s="14">
        <f>IF(OR($G$4="MEDIA",$G$4="BASICA - TERCER CICLO"),ROUND((W31*$W$11),2),ROUND((W31*$W$11),0))</f>
        <v>0</v>
      </c>
      <c r="Y31" s="47">
        <f>ROUND((L31+R31+V31)/3,1)</f>
        <v>0</v>
      </c>
      <c r="Z31" s="7"/>
      <c r="AA31" s="7"/>
      <c r="AB31" s="7"/>
      <c r="AC31" s="7"/>
      <c r="AD31" s="7"/>
      <c r="AE31" s="46">
        <f>IF(OR($G$4="MEDIA",$G$4="BASICA - TERCER CICLO"),ROUND(((Z31*$Z$11)+(AA31*$AA$11)+(AB31*$AB$11)+(AC31*$AC$11)+(AD31*$AD$11)*100)/35%,2),ROUND((Z31*$Z$11)+(AA31*$AA$11)+(AB31*$AB$11)+(AC31*$AC$11)+(AD31*$AD$11),2))</f>
        <v>0</v>
      </c>
      <c r="AF31" s="7"/>
      <c r="AG31" s="7"/>
      <c r="AH31" s="7"/>
      <c r="AI31" s="7"/>
      <c r="AJ31" s="7"/>
      <c r="AK31" s="46">
        <f>IF(OR($G$4="MEDIA",$G$4="BASICA - TERCER CICLO"),ROUND(((AF31*$AF$11)+(AG31*$AG$11)+(AH31*$AH$11)+(AI31*$AI$11)+(AJ31*$AJ$11)*100)/35%,2),ROUND((AF31*$AF$11)+(AG31*$AG$11)+(AH31*$AH$11)+(AI31*$AI$11)+(AJ31*$AJ$11),2))</f>
        <v>0</v>
      </c>
      <c r="AL31" s="7"/>
      <c r="AM31" s="7"/>
      <c r="AN31" s="7"/>
      <c r="AO31" s="46">
        <f>IF(OR($G$4="MEDIA",$G$4="BASICA - TERCER CICLO"),ROUND(((AL31*$AL$11)+(AM31*$AM$11)+(AN31*$AN$11)*100)/30%,2),ROUND(((AL31*$AL$11)+(AM31*$AM$11)+(AN31*$AN$11)*100)/30%,2))</f>
        <v>0</v>
      </c>
      <c r="AP31" s="7"/>
      <c r="AQ31" s="14">
        <f>IF(OR($G$4="MEDIA",$G$4="BASICA - TERCER CICLO"),ROUND((AP31*$AP$11),2),ROUND((AP31*$AP$11),0))</f>
        <v>0</v>
      </c>
      <c r="AR31" s="47">
        <f>ROUND((AE31+AK31+AO31)/3,1)</f>
        <v>0</v>
      </c>
      <c r="AS31" s="7"/>
      <c r="AT31" s="7"/>
      <c r="AU31" s="7"/>
      <c r="AV31" s="7"/>
      <c r="AW31" s="7"/>
      <c r="AX31" s="46">
        <f>IF(OR($G$4="MEDIA",$G$4="BASICA - TERCER CICLO"),ROUND(((AS31*$AS$11)+(AT31*$AT$11)+(AU31*$AU$11)+(AV31*$AV$11)+(AW31*$AW$11)*100)/35%,2),ROUND((AS31*$AS$11)+(AT31*$AT$11)+(AU31*$AU$11)+(AV31*$AV$11)+(AW31*$AW$11),2))</f>
        <v>0</v>
      </c>
      <c r="AY31" s="7"/>
      <c r="AZ31" s="7"/>
      <c r="BA31" s="7"/>
      <c r="BB31" s="7"/>
      <c r="BC31" s="7"/>
      <c r="BD31" s="46">
        <f>IF(OR($G$4="MEDIA",$G$4="BASICA - TERCER CICLO"),ROUND(((AY31*$AY$11)+(AZ31*$AZ$11)+(BA31*$BA$11)+(BB31*$BB$11)+(BC31*$BC$11)*100)/35%,2),ROUND((AY31*$AY$11)+(AZ31*$AZ$11)+(BA31*$BA$11)+(BB31*$BB$11)+(BC31*$BC$11),2))</f>
        <v>0</v>
      </c>
      <c r="BE31" s="7"/>
      <c r="BF31" s="7"/>
      <c r="BG31" s="7"/>
      <c r="BH31" s="46">
        <f>IF(OR($G$4="MEDIA",$G$4="BASICA - TERCER CICLO"),ROUND(((BE31*$BE$11)+(BF31*$BF$11)+(BG31*$BG$11)*100)/30%,2),ROUND(((BE31*$BE$11)+(BF31*$BF$11)+(BG31*$BG$11)*100)/30%,2))</f>
        <v>0</v>
      </c>
      <c r="BI31" s="7"/>
      <c r="BJ31" s="14">
        <f>IF(OR($G$4="MEDIA",$G$4="BASICA - TERCER CICLO"),ROUND((BI31*$BI$11),2),ROUND((BI31*$BI$11),0))</f>
        <v>0</v>
      </c>
      <c r="BK31" s="47">
        <f>ROUND((AX31+BD31+BH31)/3,1)</f>
        <v>0</v>
      </c>
      <c r="BL31" s="7"/>
      <c r="BM31" s="7"/>
      <c r="BN31" s="7"/>
      <c r="BO31" s="7"/>
      <c r="BP31" s="7"/>
      <c r="BQ31" s="13">
        <f>IF(OR($G$4="MEDIA",$G$4="BASICA - TERCER CICLO"),ROUND(((BL31*$BL$11)+(BM31*$BM$11)+(BN31*$BN$11)+(BO31*$BO$11)+(BP31*$BP$11)*100)/35%,2),ROUND(((BL31*$BL$11)+(BM31*$BM$11)+(BN31*$BN$11)+(BO31*$BO$11)+(BP31*$BP$11)*100)/35%,2))</f>
        <v>0</v>
      </c>
      <c r="BR31" s="7"/>
      <c r="BS31" s="7"/>
      <c r="BT31" s="7"/>
      <c r="BU31" s="7"/>
      <c r="BV31" s="7"/>
      <c r="BW31" s="13">
        <f>IF(OR($G$4="MEDIA",$G$4="BASICA - TERCER CICLO"),ROUND(((BR31*$BR$11)+(BS31*$BS$11)+(BT31*$BT$11)+(BU31*$BU$11)+(BV31*$BV$11)*100)/35%,2),ROUND(((BR31*$BR$11)+(BS31*$BS$11)+(BT31*$BT$11)+(BU31*$BU$11)+(BV31*$BP$11)*100)/35%,2))</f>
        <v>0</v>
      </c>
      <c r="BX31" s="7"/>
      <c r="BY31" s="7"/>
      <c r="BZ31" s="7"/>
      <c r="CA31" s="13">
        <f>IF(OR($G$4="MEDIA",$G$4="BASICA - TERCER CICLO"),ROUND(((BX31*$BX$11)+(BY31*$BY$11)+(BZ31*$BZ$11)*100)/30%,2),ROUND(((BX31*$BX$11)+(BY31*$BY$11)+(BZ31*$BZ$11)*100)/30%,2))</f>
        <v>0</v>
      </c>
      <c r="CB31" s="7"/>
      <c r="CC31" s="14">
        <f>IF(OR($G$4="MEDIA",$G$4="BASICA - TERCER CICLO"),ROUND((CB31*$BI$11),2),ROUND((CB31*$BI$11),0))</f>
        <v>0</v>
      </c>
      <c r="CD31" s="28">
        <f>IF(OR($G$4="MEDIA",$G$4="BASICA - TERCER CICLO"),ROUND((BQ31+BW31+CA31+CC31),1),IF($G$4="BASICA",ROUND((BQ31+BW31+CA31+CC31),0),ROUND((BQ31+BW31+CA31+CC31),1)))</f>
        <v>0</v>
      </c>
      <c r="CE31" s="28">
        <f>IF($G$4 = "MEDIA",ROUND(((Y31+AR31+BK31+CD31)/4),0),ROUND(((Y31+AR31+BK31)/3),0))</f>
        <v>0</v>
      </c>
      <c r="CF31" s="20"/>
      <c r="CG31" s="28">
        <f>IF(AND(CE31&lt;5,$G$4="BASICA"),ROUND((CE31+CF31)/2,0),IF(AND(CE31&lt;6,$G$4="MEDIA"),ROUND((CE31+CF31)/2,0),CE31))</f>
        <v>0</v>
      </c>
      <c r="CH31" s="17" t="str">
        <f>IF($G$4="MEDIA",IF(CG31&gt;=6,"Aprobado","Reprobado"),IF(CG31&gt;=5,"Aprobado","Reprobado"))</f>
        <v>Reprobado</v>
      </c>
    </row>
    <row r="32" spans="1:86" customHeight="1" ht="20.25">
      <c r="A32" s="41">
        <v>20</v>
      </c>
      <c r="B32" s="3">
        <v>10493425</v>
      </c>
      <c r="C32" s="3">
        <v>5037</v>
      </c>
      <c r="D32" s="3">
        <v>26963</v>
      </c>
      <c r="E32" s="3" t="s">
        <v>57</v>
      </c>
      <c r="F32" s="42" t="s">
        <v>39</v>
      </c>
      <c r="G32" s="32"/>
      <c r="H32" s="12"/>
      <c r="I32" s="12"/>
      <c r="J32" s="12"/>
      <c r="K32" s="12"/>
      <c r="L32" s="46">
        <f>IF(OR($G$4="MEDIA",$G$4="BASICA - TERCER CICLO"),ROUND(((G32*$G$11)+(H32*$H$11)+(I32*$I$11)+(J32*$J$11)+(K32*$K$11)*100)/35%,2),ROUND((G32*$G$11)+(H32*$H$11)+(I32*$I$11)+(J32*$J$11)+(K32*$K$11),2))</f>
        <v>0</v>
      </c>
      <c r="M32" s="12"/>
      <c r="N32" s="12"/>
      <c r="O32" s="12"/>
      <c r="P32" s="12"/>
      <c r="Q32" s="12"/>
      <c r="R32" s="46">
        <f>IF(OR($G$4="MEDIA",$G$4="BASICA - TERCER CICLO"),ROUND(((M32*$M$11)+(N32*$N$11)+(O32*$O$11)+(P32*$P$11)+(Q32*$Q$11)*100)/35%,2),ROUND((M32*$M$11)+(N32*$N$11)+(O32*$O$11)+(P32*$P$11)+(Q32*$Q$11),2))</f>
        <v>0</v>
      </c>
      <c r="S32" s="12"/>
      <c r="T32" s="12"/>
      <c r="U32" s="12"/>
      <c r="V32" s="13">
        <f>IF(OR($G$4="MEDIA",$G$4="BASICA - TERCER CICLO"),ROUND(((S32*$S$11)+(T32*$T$11)+(U32*$U$11)*100)/30%,2),ROUND(((S32*$S$11)+(T32*$T$11)+(U32*$U$11)*100)/30%,2))</f>
        <v>0</v>
      </c>
      <c r="W32" s="12"/>
      <c r="X32" s="14">
        <f>IF(OR($G$4="MEDIA",$G$4="BASICA - TERCER CICLO"),ROUND((W32*$W$11),2),ROUND((W32*$W$11),0))</f>
        <v>0</v>
      </c>
      <c r="Y32" s="47">
        <f>ROUND((L32+R32+V32)/3,1)</f>
        <v>0</v>
      </c>
      <c r="Z32" s="12"/>
      <c r="AA32" s="12"/>
      <c r="AB32" s="12"/>
      <c r="AC32" s="12"/>
      <c r="AD32" s="12"/>
      <c r="AE32" s="46">
        <f>IF(OR($G$4="MEDIA",$G$4="BASICA - TERCER CICLO"),ROUND(((Z32*$Z$11)+(AA32*$AA$11)+(AB32*$AB$11)+(AC32*$AC$11)+(AD32*$AD$11)*100)/35%,2),ROUND((Z32*$Z$11)+(AA32*$AA$11)+(AB32*$AB$11)+(AC32*$AC$11)+(AD32*$AD$11),2))</f>
        <v>0</v>
      </c>
      <c r="AF32" s="12"/>
      <c r="AG32" s="12"/>
      <c r="AH32" s="12"/>
      <c r="AI32" s="12"/>
      <c r="AJ32" s="12"/>
      <c r="AK32" s="46">
        <f>IF(OR($G$4="MEDIA",$G$4="BASICA - TERCER CICLO"),ROUND(((AF32*$AF$11)+(AG32*$AG$11)+(AH32*$AH$11)+(AI32*$AI$11)+(AJ32*$AJ$11)*100)/35%,2),ROUND((AF32*$AF$11)+(AG32*$AG$11)+(AH32*$AH$11)+(AI32*$AI$11)+(AJ32*$AJ$11),2))</f>
        <v>0</v>
      </c>
      <c r="AL32" s="12"/>
      <c r="AM32" s="12"/>
      <c r="AN32" s="12"/>
      <c r="AO32" s="46">
        <f>IF(OR($G$4="MEDIA",$G$4="BASICA - TERCER CICLO"),ROUND(((AL32*$AL$11)+(AM32*$AM$11)+(AN32*$AN$11)*100)/30%,2),ROUND(((AL32*$AL$11)+(AM32*$AM$11)+(AN32*$AN$11)*100)/30%,2))</f>
        <v>0</v>
      </c>
      <c r="AP32" s="12"/>
      <c r="AQ32" s="14">
        <f>IF(OR($G$4="MEDIA",$G$4="BASICA - TERCER CICLO"),ROUND((AP32*$AP$11),2),ROUND((AP32*$AP$11),0))</f>
        <v>0</v>
      </c>
      <c r="AR32" s="47">
        <f>ROUND((AE32+AK32+AO32)/3,1)</f>
        <v>0</v>
      </c>
      <c r="AS32" s="12"/>
      <c r="AT32" s="12"/>
      <c r="AU32" s="12"/>
      <c r="AV32" s="12"/>
      <c r="AW32" s="12"/>
      <c r="AX32" s="46">
        <f>IF(OR($G$4="MEDIA",$G$4="BASICA - TERCER CICLO"),ROUND(((AS32*$AS$11)+(AT32*$AT$11)+(AU32*$AU$11)+(AV32*$AV$11)+(AW32*$AW$11)*100)/35%,2),ROUND((AS32*$AS$11)+(AT32*$AT$11)+(AU32*$AU$11)+(AV32*$AV$11)+(AW32*$AW$11),2))</f>
        <v>0</v>
      </c>
      <c r="AY32" s="12"/>
      <c r="AZ32" s="12"/>
      <c r="BA32" s="12"/>
      <c r="BB32" s="12"/>
      <c r="BC32" s="12"/>
      <c r="BD32" s="46">
        <f>IF(OR($G$4="MEDIA",$G$4="BASICA - TERCER CICLO"),ROUND(((AY32*$AY$11)+(AZ32*$AZ$11)+(BA32*$BA$11)+(BB32*$BB$11)+(BC32*$BC$11)*100)/35%,2),ROUND((AY32*$AY$11)+(AZ32*$AZ$11)+(BA32*$BA$11)+(BB32*$BB$11)+(BC32*$BC$11),2))</f>
        <v>0</v>
      </c>
      <c r="BE32" s="12"/>
      <c r="BF32" s="12"/>
      <c r="BG32" s="12"/>
      <c r="BH32" s="46">
        <f>IF(OR($G$4="MEDIA",$G$4="BASICA - TERCER CICLO"),ROUND(((BE32*$BE$11)+(BF32*$BF$11)+(BG32*$BG$11)*100)/30%,2),ROUND(((BE32*$BE$11)+(BF32*$BF$11)+(BG32*$BG$11)*100)/30%,2))</f>
        <v>0</v>
      </c>
      <c r="BI32" s="12"/>
      <c r="BJ32" s="14">
        <f>IF(OR($G$4="MEDIA",$G$4="BASICA - TERCER CICLO"),ROUND((BI32*$BI$11),2),ROUND((BI32*$BI$11),0))</f>
        <v>0</v>
      </c>
      <c r="BK32" s="47">
        <f>ROUND((AX32+BD32+BH32)/3,1)</f>
        <v>0</v>
      </c>
      <c r="BL32" s="12"/>
      <c r="BM32" s="12"/>
      <c r="BN32" s="12"/>
      <c r="BO32" s="12"/>
      <c r="BP32" s="12"/>
      <c r="BQ32" s="13">
        <f>IF(OR($G$4="MEDIA",$G$4="BASICA - TERCER CICLO"),ROUND(((BL32*$BL$11)+(BM32*$BM$11)+(BN32*$BN$11)+(BO32*$BO$11)+(BP32*$BP$11)*100)/35%,2),ROUND(((BL32*$BL$11)+(BM32*$BM$11)+(BN32*$BN$11)+(BO32*$BO$11)+(BP32*$BP$11)*100)/35%,2))</f>
        <v>0</v>
      </c>
      <c r="BR32" s="12"/>
      <c r="BS32" s="12"/>
      <c r="BT32" s="12"/>
      <c r="BU32" s="12"/>
      <c r="BV32" s="12"/>
      <c r="BW32" s="13">
        <f>IF(OR($G$4="MEDIA",$G$4="BASICA - TERCER CICLO"),ROUND(((BR32*$BR$11)+(BS32*$BS$11)+(BT32*$BT$11)+(BU32*$BU$11)+(BV32*$BV$11)*100)/35%,2),ROUND(((BR32*$BR$11)+(BS32*$BS$11)+(BT32*$BT$11)+(BU32*$BU$11)+(BV32*$BP$11)*100)/35%,2))</f>
        <v>0</v>
      </c>
      <c r="BX32" s="12"/>
      <c r="BY32" s="12"/>
      <c r="BZ32" s="12"/>
      <c r="CA32" s="13">
        <f>IF(OR($G$4="MEDIA",$G$4="BASICA - TERCER CICLO"),ROUND(((BX32*$BX$11)+(BY32*$BY$11)+(BZ32*$BZ$11)*100)/30%,2),ROUND(((BX32*$BX$11)+(BY32*$BY$11)+(BZ32*$BZ$11)*100)/30%,2))</f>
        <v>0</v>
      </c>
      <c r="CB32" s="12"/>
      <c r="CC32" s="14">
        <f>IF(OR($G$4="MEDIA",$G$4="BASICA - TERCER CICLO"),ROUND((CB32*$BI$11),2),ROUND((CB32*$BI$11),0))</f>
        <v>0</v>
      </c>
      <c r="CD32" s="28">
        <f>IF(OR($G$4="MEDIA",$G$4="BASICA - TERCER CICLO"),ROUND((BQ32+BW32+CA32+CC32),1),IF($G$4="BASICA",ROUND((BQ32+BW32+CA32+CC32),0),ROUND((BQ32+BW32+CA32+CC32),1)))</f>
        <v>0</v>
      </c>
      <c r="CE32" s="28">
        <f>IF($G$4 = "MEDIA",ROUND(((Y32+AR32+BK32+CD32)/4),0),ROUND(((Y32+AR32+BK32)/3),0))</f>
        <v>0</v>
      </c>
      <c r="CF32" s="21"/>
      <c r="CG32" s="28">
        <f>IF(AND(CE32&lt;5,$G$4="BASICA"),ROUND((CE32+CF32)/2,0),IF(AND(CE32&lt;6,$G$4="MEDIA"),ROUND((CE32+CF32)/2,0),CE32))</f>
        <v>0</v>
      </c>
      <c r="CH32" s="16" t="str">
        <f>IF($G$4="MEDIA",IF(CG32&gt;=6,"Aprobado","Reprobado"),IF(CG32&gt;=5,"Aprobado","Reprobado"))</f>
        <v>Reprobado</v>
      </c>
    </row>
    <row r="33" spans="1:86" customHeight="1" ht="20.25">
      <c r="A33" s="39">
        <v>21</v>
      </c>
      <c r="B33" s="2">
        <v>10635190</v>
      </c>
      <c r="C33" s="2">
        <v>4882</v>
      </c>
      <c r="D33" s="2">
        <v>26964</v>
      </c>
      <c r="E33" s="2" t="s">
        <v>58</v>
      </c>
      <c r="F33" s="40" t="s">
        <v>37</v>
      </c>
      <c r="G33" s="31"/>
      <c r="H33" s="7"/>
      <c r="I33" s="7"/>
      <c r="J33" s="7"/>
      <c r="K33" s="7"/>
      <c r="L33" s="46">
        <f>IF(OR($G$4="MEDIA",$G$4="BASICA - TERCER CICLO"),ROUND(((G33*$G$11)+(H33*$H$11)+(I33*$I$11)+(J33*$J$11)+(K33*$K$11)*100)/35%,2),ROUND((G33*$G$11)+(H33*$H$11)+(I33*$I$11)+(J33*$J$11)+(K33*$K$11),2))</f>
        <v>0</v>
      </c>
      <c r="M33" s="7"/>
      <c r="N33" s="7"/>
      <c r="O33" s="7"/>
      <c r="P33" s="7"/>
      <c r="Q33" s="7"/>
      <c r="R33" s="46">
        <f>IF(OR($G$4="MEDIA",$G$4="BASICA - TERCER CICLO"),ROUND(((M33*$M$11)+(N33*$N$11)+(O33*$O$11)+(P33*$P$11)+(Q33*$Q$11)*100)/35%,2),ROUND((M33*$M$11)+(N33*$N$11)+(O33*$O$11)+(P33*$P$11)+(Q33*$Q$11),2))</f>
        <v>0</v>
      </c>
      <c r="S33" s="7"/>
      <c r="T33" s="7"/>
      <c r="U33" s="7"/>
      <c r="V33" s="13">
        <f>IF(OR($G$4="MEDIA",$G$4="BASICA - TERCER CICLO"),ROUND(((S33*$S$11)+(T33*$T$11)+(U33*$U$11)*100)/30%,2),ROUND(((S33*$S$11)+(T33*$T$11)+(U33*$U$11)*100)/30%,2))</f>
        <v>0</v>
      </c>
      <c r="W33" s="7"/>
      <c r="X33" s="14">
        <f>IF(OR($G$4="MEDIA",$G$4="BASICA - TERCER CICLO"),ROUND((W33*$W$11),2),ROUND((W33*$W$11),0))</f>
        <v>0</v>
      </c>
      <c r="Y33" s="47">
        <f>ROUND((L33+R33+V33)/3,1)</f>
        <v>0</v>
      </c>
      <c r="Z33" s="7"/>
      <c r="AA33" s="7"/>
      <c r="AB33" s="7"/>
      <c r="AC33" s="7"/>
      <c r="AD33" s="7"/>
      <c r="AE33" s="46">
        <f>IF(OR($G$4="MEDIA",$G$4="BASICA - TERCER CICLO"),ROUND(((Z33*$Z$11)+(AA33*$AA$11)+(AB33*$AB$11)+(AC33*$AC$11)+(AD33*$AD$11)*100)/35%,2),ROUND((Z33*$Z$11)+(AA33*$AA$11)+(AB33*$AB$11)+(AC33*$AC$11)+(AD33*$AD$11),2))</f>
        <v>0</v>
      </c>
      <c r="AF33" s="7"/>
      <c r="AG33" s="7"/>
      <c r="AH33" s="7"/>
      <c r="AI33" s="7"/>
      <c r="AJ33" s="7"/>
      <c r="AK33" s="46">
        <f>IF(OR($G$4="MEDIA",$G$4="BASICA - TERCER CICLO"),ROUND(((AF33*$AF$11)+(AG33*$AG$11)+(AH33*$AH$11)+(AI33*$AI$11)+(AJ33*$AJ$11)*100)/35%,2),ROUND((AF33*$AF$11)+(AG33*$AG$11)+(AH33*$AH$11)+(AI33*$AI$11)+(AJ33*$AJ$11),2))</f>
        <v>0</v>
      </c>
      <c r="AL33" s="7"/>
      <c r="AM33" s="7"/>
      <c r="AN33" s="7"/>
      <c r="AO33" s="46">
        <f>IF(OR($G$4="MEDIA",$G$4="BASICA - TERCER CICLO"),ROUND(((AL33*$AL$11)+(AM33*$AM$11)+(AN33*$AN$11)*100)/30%,2),ROUND(((AL33*$AL$11)+(AM33*$AM$11)+(AN33*$AN$11)*100)/30%,2))</f>
        <v>0</v>
      </c>
      <c r="AP33" s="7"/>
      <c r="AQ33" s="14">
        <f>IF(OR($G$4="MEDIA",$G$4="BASICA - TERCER CICLO"),ROUND((AP33*$AP$11),2),ROUND((AP33*$AP$11),0))</f>
        <v>0</v>
      </c>
      <c r="AR33" s="47">
        <f>ROUND((AE33+AK33+AO33)/3,1)</f>
        <v>0</v>
      </c>
      <c r="AS33" s="7"/>
      <c r="AT33" s="7"/>
      <c r="AU33" s="7"/>
      <c r="AV33" s="7"/>
      <c r="AW33" s="7"/>
      <c r="AX33" s="46">
        <f>IF(OR($G$4="MEDIA",$G$4="BASICA - TERCER CICLO"),ROUND(((AS33*$AS$11)+(AT33*$AT$11)+(AU33*$AU$11)+(AV33*$AV$11)+(AW33*$AW$11)*100)/35%,2),ROUND((AS33*$AS$11)+(AT33*$AT$11)+(AU33*$AU$11)+(AV33*$AV$11)+(AW33*$AW$11),2))</f>
        <v>0</v>
      </c>
      <c r="AY33" s="7"/>
      <c r="AZ33" s="7"/>
      <c r="BA33" s="7"/>
      <c r="BB33" s="7"/>
      <c r="BC33" s="7"/>
      <c r="BD33" s="46">
        <f>IF(OR($G$4="MEDIA",$G$4="BASICA - TERCER CICLO"),ROUND(((AY33*$AY$11)+(AZ33*$AZ$11)+(BA33*$BA$11)+(BB33*$BB$11)+(BC33*$BC$11)*100)/35%,2),ROUND((AY33*$AY$11)+(AZ33*$AZ$11)+(BA33*$BA$11)+(BB33*$BB$11)+(BC33*$BC$11),2))</f>
        <v>0</v>
      </c>
      <c r="BE33" s="7"/>
      <c r="BF33" s="7"/>
      <c r="BG33" s="7"/>
      <c r="BH33" s="46">
        <f>IF(OR($G$4="MEDIA",$G$4="BASICA - TERCER CICLO"),ROUND(((BE33*$BE$11)+(BF33*$BF$11)+(BG33*$BG$11)*100)/30%,2),ROUND(((BE33*$BE$11)+(BF33*$BF$11)+(BG33*$BG$11)*100)/30%,2))</f>
        <v>0</v>
      </c>
      <c r="BI33" s="7"/>
      <c r="BJ33" s="14">
        <f>IF(OR($G$4="MEDIA",$G$4="BASICA - TERCER CICLO"),ROUND((BI33*$BI$11),2),ROUND((BI33*$BI$11),0))</f>
        <v>0</v>
      </c>
      <c r="BK33" s="47">
        <f>ROUND((AX33+BD33+BH33)/3,1)</f>
        <v>0</v>
      </c>
      <c r="BL33" s="7"/>
      <c r="BM33" s="7"/>
      <c r="BN33" s="7"/>
      <c r="BO33" s="7"/>
      <c r="BP33" s="7"/>
      <c r="BQ33" s="13">
        <f>IF(OR($G$4="MEDIA",$G$4="BASICA - TERCER CICLO"),ROUND(((BL33*$BL$11)+(BM33*$BM$11)+(BN33*$BN$11)+(BO33*$BO$11)+(BP33*$BP$11)*100)/35%,2),ROUND(((BL33*$BL$11)+(BM33*$BM$11)+(BN33*$BN$11)+(BO33*$BO$11)+(BP33*$BP$11)*100)/35%,2))</f>
        <v>0</v>
      </c>
      <c r="BR33" s="7"/>
      <c r="BS33" s="7"/>
      <c r="BT33" s="7"/>
      <c r="BU33" s="7"/>
      <c r="BV33" s="7"/>
      <c r="BW33" s="13">
        <f>IF(OR($G$4="MEDIA",$G$4="BASICA - TERCER CICLO"),ROUND(((BR33*$BR$11)+(BS33*$BS$11)+(BT33*$BT$11)+(BU33*$BU$11)+(BV33*$BV$11)*100)/35%,2),ROUND(((BR33*$BR$11)+(BS33*$BS$11)+(BT33*$BT$11)+(BU33*$BU$11)+(BV33*$BP$11)*100)/35%,2))</f>
        <v>0</v>
      </c>
      <c r="BX33" s="7"/>
      <c r="BY33" s="7"/>
      <c r="BZ33" s="7"/>
      <c r="CA33" s="13">
        <f>IF(OR($G$4="MEDIA",$G$4="BASICA - TERCER CICLO"),ROUND(((BX33*$BX$11)+(BY33*$BY$11)+(BZ33*$BZ$11)*100)/30%,2),ROUND(((BX33*$BX$11)+(BY33*$BY$11)+(BZ33*$BZ$11)*100)/30%,2))</f>
        <v>0</v>
      </c>
      <c r="CB33" s="7"/>
      <c r="CC33" s="14">
        <f>IF(OR($G$4="MEDIA",$G$4="BASICA - TERCER CICLO"),ROUND((CB33*$BI$11),2),ROUND((CB33*$BI$11),0))</f>
        <v>0</v>
      </c>
      <c r="CD33" s="28">
        <f>IF(OR($G$4="MEDIA",$G$4="BASICA - TERCER CICLO"),ROUND((BQ33+BW33+CA33+CC33),1),IF($G$4="BASICA",ROUND((BQ33+BW33+CA33+CC33),0),ROUND((BQ33+BW33+CA33+CC33),1)))</f>
        <v>0</v>
      </c>
      <c r="CE33" s="28">
        <f>IF($G$4 = "MEDIA",ROUND(((Y33+AR33+BK33+CD33)/4),0),ROUND(((Y33+AR33+BK33)/3),0))</f>
        <v>0</v>
      </c>
      <c r="CF33" s="20"/>
      <c r="CG33" s="28">
        <f>IF(AND(CE33&lt;5,$G$4="BASICA"),ROUND((CE33+CF33)/2,0),IF(AND(CE33&lt;6,$G$4="MEDIA"),ROUND((CE33+CF33)/2,0),CE33))</f>
        <v>0</v>
      </c>
      <c r="CH33" s="17" t="str">
        <f>IF($G$4="MEDIA",IF(CG33&gt;=6,"Aprobado","Reprobado"),IF(CG33&gt;=5,"Aprobado","Reprobado"))</f>
        <v>Reprobado</v>
      </c>
    </row>
    <row r="34" spans="1:86" customHeight="1" ht="20.25">
      <c r="A34" s="41">
        <v>22</v>
      </c>
      <c r="B34" s="3">
        <v>10522941</v>
      </c>
      <c r="C34" s="3">
        <v>4677</v>
      </c>
      <c r="D34" s="3">
        <v>26965</v>
      </c>
      <c r="E34" s="3" t="s">
        <v>59</v>
      </c>
      <c r="F34" s="42" t="s">
        <v>39</v>
      </c>
      <c r="G34" s="32"/>
      <c r="H34" s="12"/>
      <c r="I34" s="12"/>
      <c r="J34" s="12"/>
      <c r="K34" s="12"/>
      <c r="L34" s="46">
        <f>IF(OR($G$4="MEDIA",$G$4="BASICA - TERCER CICLO"),ROUND(((G34*$G$11)+(H34*$H$11)+(I34*$I$11)+(J34*$J$11)+(K34*$K$11)*100)/35%,2),ROUND((G34*$G$11)+(H34*$H$11)+(I34*$I$11)+(J34*$J$11)+(K34*$K$11),2))</f>
        <v>0</v>
      </c>
      <c r="M34" s="12"/>
      <c r="N34" s="12"/>
      <c r="O34" s="12"/>
      <c r="P34" s="12"/>
      <c r="Q34" s="12"/>
      <c r="R34" s="46">
        <f>IF(OR($G$4="MEDIA",$G$4="BASICA - TERCER CICLO"),ROUND(((M34*$M$11)+(N34*$N$11)+(O34*$O$11)+(P34*$P$11)+(Q34*$Q$11)*100)/35%,2),ROUND((M34*$M$11)+(N34*$N$11)+(O34*$O$11)+(P34*$P$11)+(Q34*$Q$11),2))</f>
        <v>0</v>
      </c>
      <c r="S34" s="12"/>
      <c r="T34" s="12"/>
      <c r="U34" s="12"/>
      <c r="V34" s="13">
        <f>IF(OR($G$4="MEDIA",$G$4="BASICA - TERCER CICLO"),ROUND(((S34*$S$11)+(T34*$T$11)+(U34*$U$11)*100)/30%,2),ROUND(((S34*$S$11)+(T34*$T$11)+(U34*$U$11)*100)/30%,2))</f>
        <v>0</v>
      </c>
      <c r="W34" s="12"/>
      <c r="X34" s="14">
        <f>IF(OR($G$4="MEDIA",$G$4="BASICA - TERCER CICLO"),ROUND((W34*$W$11),2),ROUND((W34*$W$11),0))</f>
        <v>0</v>
      </c>
      <c r="Y34" s="47">
        <f>ROUND((L34+R34+V34)/3,1)</f>
        <v>0</v>
      </c>
      <c r="Z34" s="12"/>
      <c r="AA34" s="12"/>
      <c r="AB34" s="12"/>
      <c r="AC34" s="12"/>
      <c r="AD34" s="12"/>
      <c r="AE34" s="46">
        <f>IF(OR($G$4="MEDIA",$G$4="BASICA - TERCER CICLO"),ROUND(((Z34*$Z$11)+(AA34*$AA$11)+(AB34*$AB$11)+(AC34*$AC$11)+(AD34*$AD$11)*100)/35%,2),ROUND((Z34*$Z$11)+(AA34*$AA$11)+(AB34*$AB$11)+(AC34*$AC$11)+(AD34*$AD$11),2))</f>
        <v>0</v>
      </c>
      <c r="AF34" s="12"/>
      <c r="AG34" s="12"/>
      <c r="AH34" s="12"/>
      <c r="AI34" s="12"/>
      <c r="AJ34" s="12"/>
      <c r="AK34" s="46">
        <f>IF(OR($G$4="MEDIA",$G$4="BASICA - TERCER CICLO"),ROUND(((AF34*$AF$11)+(AG34*$AG$11)+(AH34*$AH$11)+(AI34*$AI$11)+(AJ34*$AJ$11)*100)/35%,2),ROUND((AF34*$AF$11)+(AG34*$AG$11)+(AH34*$AH$11)+(AI34*$AI$11)+(AJ34*$AJ$11),2))</f>
        <v>0</v>
      </c>
      <c r="AL34" s="12"/>
      <c r="AM34" s="12"/>
      <c r="AN34" s="12"/>
      <c r="AO34" s="46">
        <f>IF(OR($G$4="MEDIA",$G$4="BASICA - TERCER CICLO"),ROUND(((AL34*$AL$11)+(AM34*$AM$11)+(AN34*$AN$11)*100)/30%,2),ROUND(((AL34*$AL$11)+(AM34*$AM$11)+(AN34*$AN$11)*100)/30%,2))</f>
        <v>0</v>
      </c>
      <c r="AP34" s="12"/>
      <c r="AQ34" s="14">
        <f>IF(OR($G$4="MEDIA",$G$4="BASICA - TERCER CICLO"),ROUND((AP34*$AP$11),2),ROUND((AP34*$AP$11),0))</f>
        <v>0</v>
      </c>
      <c r="AR34" s="47">
        <f>ROUND((AE34+AK34+AO34)/3,1)</f>
        <v>0</v>
      </c>
      <c r="AS34" s="12"/>
      <c r="AT34" s="12"/>
      <c r="AU34" s="12"/>
      <c r="AV34" s="12"/>
      <c r="AW34" s="12"/>
      <c r="AX34" s="46">
        <f>IF(OR($G$4="MEDIA",$G$4="BASICA - TERCER CICLO"),ROUND(((AS34*$AS$11)+(AT34*$AT$11)+(AU34*$AU$11)+(AV34*$AV$11)+(AW34*$AW$11)*100)/35%,2),ROUND((AS34*$AS$11)+(AT34*$AT$11)+(AU34*$AU$11)+(AV34*$AV$11)+(AW34*$AW$11),2))</f>
        <v>0</v>
      </c>
      <c r="AY34" s="12"/>
      <c r="AZ34" s="12"/>
      <c r="BA34" s="12"/>
      <c r="BB34" s="12"/>
      <c r="BC34" s="12"/>
      <c r="BD34" s="46">
        <f>IF(OR($G$4="MEDIA",$G$4="BASICA - TERCER CICLO"),ROUND(((AY34*$AY$11)+(AZ34*$AZ$11)+(BA34*$BA$11)+(BB34*$BB$11)+(BC34*$BC$11)*100)/35%,2),ROUND((AY34*$AY$11)+(AZ34*$AZ$11)+(BA34*$BA$11)+(BB34*$BB$11)+(BC34*$BC$11),2))</f>
        <v>0</v>
      </c>
      <c r="BE34" s="12"/>
      <c r="BF34" s="12"/>
      <c r="BG34" s="12"/>
      <c r="BH34" s="46">
        <f>IF(OR($G$4="MEDIA",$G$4="BASICA - TERCER CICLO"),ROUND(((BE34*$BE$11)+(BF34*$BF$11)+(BG34*$BG$11)*100)/30%,2),ROUND(((BE34*$BE$11)+(BF34*$BF$11)+(BG34*$BG$11)*100)/30%,2))</f>
        <v>0</v>
      </c>
      <c r="BI34" s="12"/>
      <c r="BJ34" s="14">
        <f>IF(OR($G$4="MEDIA",$G$4="BASICA - TERCER CICLO"),ROUND((BI34*$BI$11),2),ROUND((BI34*$BI$11),0))</f>
        <v>0</v>
      </c>
      <c r="BK34" s="47">
        <f>ROUND((AX34+BD34+BH34)/3,1)</f>
        <v>0</v>
      </c>
      <c r="BL34" s="12"/>
      <c r="BM34" s="12"/>
      <c r="BN34" s="12"/>
      <c r="BO34" s="12"/>
      <c r="BP34" s="12"/>
      <c r="BQ34" s="13">
        <f>IF(OR($G$4="MEDIA",$G$4="BASICA - TERCER CICLO"),ROUND(((BL34*$BL$11)+(BM34*$BM$11)+(BN34*$BN$11)+(BO34*$BO$11)+(BP34*$BP$11)*100)/35%,2),ROUND(((BL34*$BL$11)+(BM34*$BM$11)+(BN34*$BN$11)+(BO34*$BO$11)+(BP34*$BP$11)*100)/35%,2))</f>
        <v>0</v>
      </c>
      <c r="BR34" s="12"/>
      <c r="BS34" s="12"/>
      <c r="BT34" s="12"/>
      <c r="BU34" s="12"/>
      <c r="BV34" s="12"/>
      <c r="BW34" s="13">
        <f>IF(OR($G$4="MEDIA",$G$4="BASICA - TERCER CICLO"),ROUND(((BR34*$BR$11)+(BS34*$BS$11)+(BT34*$BT$11)+(BU34*$BU$11)+(BV34*$BV$11)*100)/35%,2),ROUND(((BR34*$BR$11)+(BS34*$BS$11)+(BT34*$BT$11)+(BU34*$BU$11)+(BV34*$BP$11)*100)/35%,2))</f>
        <v>0</v>
      </c>
      <c r="BX34" s="12"/>
      <c r="BY34" s="12"/>
      <c r="BZ34" s="12"/>
      <c r="CA34" s="13">
        <f>IF(OR($G$4="MEDIA",$G$4="BASICA - TERCER CICLO"),ROUND(((BX34*$BX$11)+(BY34*$BY$11)+(BZ34*$BZ$11)*100)/30%,2),ROUND(((BX34*$BX$11)+(BY34*$BY$11)+(BZ34*$BZ$11)*100)/30%,2))</f>
        <v>0</v>
      </c>
      <c r="CB34" s="12"/>
      <c r="CC34" s="14">
        <f>IF(OR($G$4="MEDIA",$G$4="BASICA - TERCER CICLO"),ROUND((CB34*$BI$11),2),ROUND((CB34*$BI$11),0))</f>
        <v>0</v>
      </c>
      <c r="CD34" s="28">
        <f>IF(OR($G$4="MEDIA",$G$4="BASICA - TERCER CICLO"),ROUND((BQ34+BW34+CA34+CC34),1),IF($G$4="BASICA",ROUND((BQ34+BW34+CA34+CC34),0),ROUND((BQ34+BW34+CA34+CC34),1)))</f>
        <v>0</v>
      </c>
      <c r="CE34" s="28">
        <f>IF($G$4 = "MEDIA",ROUND(((Y34+AR34+BK34+CD34)/4),0),ROUND(((Y34+AR34+BK34)/3),0))</f>
        <v>0</v>
      </c>
      <c r="CF34" s="21"/>
      <c r="CG34" s="28">
        <f>IF(AND(CE34&lt;5,$G$4="BASICA"),ROUND((CE34+CF34)/2,0),IF(AND(CE34&lt;6,$G$4="MEDIA"),ROUND((CE34+CF34)/2,0),CE34))</f>
        <v>0</v>
      </c>
      <c r="CH34" s="16" t="str">
        <f>IF($G$4="MEDIA",IF(CG34&gt;=6,"Aprobado","Reprobado"),IF(CG34&gt;=5,"Aprobado","Reprobado"))</f>
        <v>Reprobado</v>
      </c>
    </row>
    <row r="35" spans="1:86" customHeight="1" ht="20.25">
      <c r="A35" s="39">
        <v>23</v>
      </c>
      <c r="B35" s="2">
        <v>10150968</v>
      </c>
      <c r="C35" s="2">
        <v>4503</v>
      </c>
      <c r="D35" s="2">
        <v>26971</v>
      </c>
      <c r="E35" s="2" t="s">
        <v>60</v>
      </c>
      <c r="F35" s="40" t="s">
        <v>39</v>
      </c>
      <c r="G35" s="31"/>
      <c r="H35" s="7"/>
      <c r="I35" s="7"/>
      <c r="J35" s="7"/>
      <c r="K35" s="7"/>
      <c r="L35" s="46">
        <f>IF(OR($G$4="MEDIA",$G$4="BASICA - TERCER CICLO"),ROUND(((G35*$G$11)+(H35*$H$11)+(I35*$I$11)+(J35*$J$11)+(K35*$K$11)*100)/35%,2),ROUND((G35*$G$11)+(H35*$H$11)+(I35*$I$11)+(J35*$J$11)+(K35*$K$11),2))</f>
        <v>0</v>
      </c>
      <c r="M35" s="7"/>
      <c r="N35" s="7"/>
      <c r="O35" s="7"/>
      <c r="P35" s="7"/>
      <c r="Q35" s="7"/>
      <c r="R35" s="46">
        <f>IF(OR($G$4="MEDIA",$G$4="BASICA - TERCER CICLO"),ROUND(((M35*$M$11)+(N35*$N$11)+(O35*$O$11)+(P35*$P$11)+(Q35*$Q$11)*100)/35%,2),ROUND((M35*$M$11)+(N35*$N$11)+(O35*$O$11)+(P35*$P$11)+(Q35*$Q$11),2))</f>
        <v>0</v>
      </c>
      <c r="S35" s="7"/>
      <c r="T35" s="7"/>
      <c r="U35" s="7"/>
      <c r="V35" s="13">
        <f>IF(OR($G$4="MEDIA",$G$4="BASICA - TERCER CICLO"),ROUND(((S35*$S$11)+(T35*$T$11)+(U35*$U$11)*100)/30%,2),ROUND(((S35*$S$11)+(T35*$T$11)+(U35*$U$11)*100)/30%,2))</f>
        <v>0</v>
      </c>
      <c r="W35" s="7"/>
      <c r="X35" s="14">
        <f>IF(OR($G$4="MEDIA",$G$4="BASICA - TERCER CICLO"),ROUND((W35*$W$11),2),ROUND((W35*$W$11),0))</f>
        <v>0</v>
      </c>
      <c r="Y35" s="47">
        <f>ROUND((L35+R35+V35)/3,1)</f>
        <v>0</v>
      </c>
      <c r="Z35" s="7"/>
      <c r="AA35" s="7"/>
      <c r="AB35" s="7"/>
      <c r="AC35" s="7"/>
      <c r="AD35" s="7"/>
      <c r="AE35" s="46">
        <f>IF(OR($G$4="MEDIA",$G$4="BASICA - TERCER CICLO"),ROUND(((Z35*$Z$11)+(AA35*$AA$11)+(AB35*$AB$11)+(AC35*$AC$11)+(AD35*$AD$11)*100)/35%,2),ROUND((Z35*$Z$11)+(AA35*$AA$11)+(AB35*$AB$11)+(AC35*$AC$11)+(AD35*$AD$11),2))</f>
        <v>0</v>
      </c>
      <c r="AF35" s="7"/>
      <c r="AG35" s="7"/>
      <c r="AH35" s="7"/>
      <c r="AI35" s="7"/>
      <c r="AJ35" s="7"/>
      <c r="AK35" s="46">
        <f>IF(OR($G$4="MEDIA",$G$4="BASICA - TERCER CICLO"),ROUND(((AF35*$AF$11)+(AG35*$AG$11)+(AH35*$AH$11)+(AI35*$AI$11)+(AJ35*$AJ$11)*100)/35%,2),ROUND((AF35*$AF$11)+(AG35*$AG$11)+(AH35*$AH$11)+(AI35*$AI$11)+(AJ35*$AJ$11),2))</f>
        <v>0</v>
      </c>
      <c r="AL35" s="7"/>
      <c r="AM35" s="7"/>
      <c r="AN35" s="7"/>
      <c r="AO35" s="46">
        <f>IF(OR($G$4="MEDIA",$G$4="BASICA - TERCER CICLO"),ROUND(((AL35*$AL$11)+(AM35*$AM$11)+(AN35*$AN$11)*100)/30%,2),ROUND(((AL35*$AL$11)+(AM35*$AM$11)+(AN35*$AN$11)*100)/30%,2))</f>
        <v>0</v>
      </c>
      <c r="AP35" s="7"/>
      <c r="AQ35" s="14">
        <f>IF(OR($G$4="MEDIA",$G$4="BASICA - TERCER CICLO"),ROUND((AP35*$AP$11),2),ROUND((AP35*$AP$11),0))</f>
        <v>0</v>
      </c>
      <c r="AR35" s="47">
        <f>ROUND((AE35+AK35+AO35)/3,1)</f>
        <v>0</v>
      </c>
      <c r="AS35" s="7"/>
      <c r="AT35" s="7"/>
      <c r="AU35" s="7"/>
      <c r="AV35" s="7"/>
      <c r="AW35" s="7"/>
      <c r="AX35" s="46">
        <f>IF(OR($G$4="MEDIA",$G$4="BASICA - TERCER CICLO"),ROUND(((AS35*$AS$11)+(AT35*$AT$11)+(AU35*$AU$11)+(AV35*$AV$11)+(AW35*$AW$11)*100)/35%,2),ROUND((AS35*$AS$11)+(AT35*$AT$11)+(AU35*$AU$11)+(AV35*$AV$11)+(AW35*$AW$11),2))</f>
        <v>0</v>
      </c>
      <c r="AY35" s="7"/>
      <c r="AZ35" s="7"/>
      <c r="BA35" s="7"/>
      <c r="BB35" s="7"/>
      <c r="BC35" s="7"/>
      <c r="BD35" s="46">
        <f>IF(OR($G$4="MEDIA",$G$4="BASICA - TERCER CICLO"),ROUND(((AY35*$AY$11)+(AZ35*$AZ$11)+(BA35*$BA$11)+(BB35*$BB$11)+(BC35*$BC$11)*100)/35%,2),ROUND((AY35*$AY$11)+(AZ35*$AZ$11)+(BA35*$BA$11)+(BB35*$BB$11)+(BC35*$BC$11),2))</f>
        <v>0</v>
      </c>
      <c r="BE35" s="7"/>
      <c r="BF35" s="7"/>
      <c r="BG35" s="7"/>
      <c r="BH35" s="46">
        <f>IF(OR($G$4="MEDIA",$G$4="BASICA - TERCER CICLO"),ROUND(((BE35*$BE$11)+(BF35*$BF$11)+(BG35*$BG$11)*100)/30%,2),ROUND(((BE35*$BE$11)+(BF35*$BF$11)+(BG35*$BG$11)*100)/30%,2))</f>
        <v>0</v>
      </c>
      <c r="BI35" s="7"/>
      <c r="BJ35" s="14">
        <f>IF(OR($G$4="MEDIA",$G$4="BASICA - TERCER CICLO"),ROUND((BI35*$BI$11),2),ROUND((BI35*$BI$11),0))</f>
        <v>0</v>
      </c>
      <c r="BK35" s="47">
        <f>ROUND((AX35+BD35+BH35)/3,1)</f>
        <v>0</v>
      </c>
      <c r="BL35" s="7"/>
      <c r="BM35" s="7"/>
      <c r="BN35" s="7"/>
      <c r="BO35" s="7"/>
      <c r="BP35" s="7"/>
      <c r="BQ35" s="13">
        <f>IF(OR($G$4="MEDIA",$G$4="BASICA - TERCER CICLO"),ROUND(((BL35*$BL$11)+(BM35*$BM$11)+(BN35*$BN$11)+(BO35*$BO$11)+(BP35*$BP$11)*100)/35%,2),ROUND(((BL35*$BL$11)+(BM35*$BM$11)+(BN35*$BN$11)+(BO35*$BO$11)+(BP35*$BP$11)*100)/35%,2))</f>
        <v>0</v>
      </c>
      <c r="BR35" s="7"/>
      <c r="BS35" s="7"/>
      <c r="BT35" s="7"/>
      <c r="BU35" s="7"/>
      <c r="BV35" s="7"/>
      <c r="BW35" s="13">
        <f>IF(OR($G$4="MEDIA",$G$4="BASICA - TERCER CICLO"),ROUND(((BR35*$BR$11)+(BS35*$BS$11)+(BT35*$BT$11)+(BU35*$BU$11)+(BV35*$BV$11)*100)/35%,2),ROUND(((BR35*$BR$11)+(BS35*$BS$11)+(BT35*$BT$11)+(BU35*$BU$11)+(BV35*$BP$11)*100)/35%,2))</f>
        <v>0</v>
      </c>
      <c r="BX35" s="7"/>
      <c r="BY35" s="7"/>
      <c r="BZ35" s="7"/>
      <c r="CA35" s="13">
        <f>IF(OR($G$4="MEDIA",$G$4="BASICA - TERCER CICLO"),ROUND(((BX35*$BX$11)+(BY35*$BY$11)+(BZ35*$BZ$11)*100)/30%,2),ROUND(((BX35*$BX$11)+(BY35*$BY$11)+(BZ35*$BZ$11)*100)/30%,2))</f>
        <v>0</v>
      </c>
      <c r="CB35" s="7"/>
      <c r="CC35" s="14">
        <f>IF(OR($G$4="MEDIA",$G$4="BASICA - TERCER CICLO"),ROUND((CB35*$BI$11),2),ROUND((CB35*$BI$11),0))</f>
        <v>0</v>
      </c>
      <c r="CD35" s="28">
        <f>IF(OR($G$4="MEDIA",$G$4="BASICA - TERCER CICLO"),ROUND((BQ35+BW35+CA35+CC35),1),IF($G$4="BASICA",ROUND((BQ35+BW35+CA35+CC35),0),ROUND((BQ35+BW35+CA35+CC35),1)))</f>
        <v>0</v>
      </c>
      <c r="CE35" s="28">
        <f>IF($G$4 = "MEDIA",ROUND(((Y35+AR35+BK35+CD35)/4),0),ROUND(((Y35+AR35+BK35)/3),0))</f>
        <v>0</v>
      </c>
      <c r="CF35" s="20"/>
      <c r="CG35" s="28">
        <f>IF(AND(CE35&lt;5,$G$4="BASICA"),ROUND((CE35+CF35)/2,0),IF(AND(CE35&lt;6,$G$4="MEDIA"),ROUND((CE35+CF35)/2,0),CE35))</f>
        <v>0</v>
      </c>
      <c r="CH35" s="17" t="str">
        <f>IF($G$4="MEDIA",IF(CG35&gt;=6,"Aprobado","Reprobado"),IF(CG35&gt;=5,"Aprobado","Reprobado"))</f>
        <v>Reprobado</v>
      </c>
    </row>
    <row r="36" spans="1:86" customHeight="1" ht="20.25">
      <c r="A36" s="41">
        <v>24</v>
      </c>
      <c r="B36" s="3">
        <v>10335720</v>
      </c>
      <c r="C36" s="3">
        <v>5083</v>
      </c>
      <c r="D36" s="3">
        <v>26972</v>
      </c>
      <c r="E36" s="3" t="s">
        <v>61</v>
      </c>
      <c r="F36" s="42" t="s">
        <v>37</v>
      </c>
      <c r="G36" s="32"/>
      <c r="H36" s="12"/>
      <c r="I36" s="12"/>
      <c r="J36" s="12"/>
      <c r="K36" s="12"/>
      <c r="L36" s="46">
        <f>IF(OR($G$4="MEDIA",$G$4="BASICA - TERCER CICLO"),ROUND(((G36*$G$11)+(H36*$H$11)+(I36*$I$11)+(J36*$J$11)+(K36*$K$11)*100)/35%,2),ROUND((G36*$G$11)+(H36*$H$11)+(I36*$I$11)+(J36*$J$11)+(K36*$K$11),2))</f>
        <v>0</v>
      </c>
      <c r="M36" s="12"/>
      <c r="N36" s="12"/>
      <c r="O36" s="12"/>
      <c r="P36" s="12"/>
      <c r="Q36" s="12"/>
      <c r="R36" s="46">
        <f>IF(OR($G$4="MEDIA",$G$4="BASICA - TERCER CICLO"),ROUND(((M36*$M$11)+(N36*$N$11)+(O36*$O$11)+(P36*$P$11)+(Q36*$Q$11)*100)/35%,2),ROUND((M36*$M$11)+(N36*$N$11)+(O36*$O$11)+(P36*$P$11)+(Q36*$Q$11),2))</f>
        <v>0</v>
      </c>
      <c r="S36" s="12"/>
      <c r="T36" s="12"/>
      <c r="U36" s="12"/>
      <c r="V36" s="13">
        <f>IF(OR($G$4="MEDIA",$G$4="BASICA - TERCER CICLO"),ROUND(((S36*$S$11)+(T36*$T$11)+(U36*$U$11)*100)/30%,2),ROUND(((S36*$S$11)+(T36*$T$11)+(U36*$U$11)*100)/30%,2))</f>
        <v>0</v>
      </c>
      <c r="W36" s="12"/>
      <c r="X36" s="14">
        <f>IF(OR($G$4="MEDIA",$G$4="BASICA - TERCER CICLO"),ROUND((W36*$W$11),2),ROUND((W36*$W$11),0))</f>
        <v>0</v>
      </c>
      <c r="Y36" s="47">
        <f>ROUND((L36+R36+V36)/3,1)</f>
        <v>0</v>
      </c>
      <c r="Z36" s="12"/>
      <c r="AA36" s="12"/>
      <c r="AB36" s="12"/>
      <c r="AC36" s="12"/>
      <c r="AD36" s="12"/>
      <c r="AE36" s="46">
        <f>IF(OR($G$4="MEDIA",$G$4="BASICA - TERCER CICLO"),ROUND(((Z36*$Z$11)+(AA36*$AA$11)+(AB36*$AB$11)+(AC36*$AC$11)+(AD36*$AD$11)*100)/35%,2),ROUND((Z36*$Z$11)+(AA36*$AA$11)+(AB36*$AB$11)+(AC36*$AC$11)+(AD36*$AD$11),2))</f>
        <v>0</v>
      </c>
      <c r="AF36" s="12"/>
      <c r="AG36" s="12"/>
      <c r="AH36" s="12"/>
      <c r="AI36" s="12"/>
      <c r="AJ36" s="12"/>
      <c r="AK36" s="46">
        <f>IF(OR($G$4="MEDIA",$G$4="BASICA - TERCER CICLO"),ROUND(((AF36*$AF$11)+(AG36*$AG$11)+(AH36*$AH$11)+(AI36*$AI$11)+(AJ36*$AJ$11)*100)/35%,2),ROUND((AF36*$AF$11)+(AG36*$AG$11)+(AH36*$AH$11)+(AI36*$AI$11)+(AJ36*$AJ$11),2))</f>
        <v>0</v>
      </c>
      <c r="AL36" s="12"/>
      <c r="AM36" s="12"/>
      <c r="AN36" s="12"/>
      <c r="AO36" s="46">
        <f>IF(OR($G$4="MEDIA",$G$4="BASICA - TERCER CICLO"),ROUND(((AL36*$AL$11)+(AM36*$AM$11)+(AN36*$AN$11)*100)/30%,2),ROUND(((AL36*$AL$11)+(AM36*$AM$11)+(AN36*$AN$11)*100)/30%,2))</f>
        <v>0</v>
      </c>
      <c r="AP36" s="12"/>
      <c r="AQ36" s="14">
        <f>IF(OR($G$4="MEDIA",$G$4="BASICA - TERCER CICLO"),ROUND((AP36*$AP$11),2),ROUND((AP36*$AP$11),0))</f>
        <v>0</v>
      </c>
      <c r="AR36" s="47">
        <f>ROUND((AE36+AK36+AO36)/3,1)</f>
        <v>0</v>
      </c>
      <c r="AS36" s="12"/>
      <c r="AT36" s="12"/>
      <c r="AU36" s="12"/>
      <c r="AV36" s="12"/>
      <c r="AW36" s="12"/>
      <c r="AX36" s="46">
        <f>IF(OR($G$4="MEDIA",$G$4="BASICA - TERCER CICLO"),ROUND(((AS36*$AS$11)+(AT36*$AT$11)+(AU36*$AU$11)+(AV36*$AV$11)+(AW36*$AW$11)*100)/35%,2),ROUND((AS36*$AS$11)+(AT36*$AT$11)+(AU36*$AU$11)+(AV36*$AV$11)+(AW36*$AW$11),2))</f>
        <v>0</v>
      </c>
      <c r="AY36" s="12"/>
      <c r="AZ36" s="12"/>
      <c r="BA36" s="12"/>
      <c r="BB36" s="12"/>
      <c r="BC36" s="12"/>
      <c r="BD36" s="46">
        <f>IF(OR($G$4="MEDIA",$G$4="BASICA - TERCER CICLO"),ROUND(((AY36*$AY$11)+(AZ36*$AZ$11)+(BA36*$BA$11)+(BB36*$BB$11)+(BC36*$BC$11)*100)/35%,2),ROUND((AY36*$AY$11)+(AZ36*$AZ$11)+(BA36*$BA$11)+(BB36*$BB$11)+(BC36*$BC$11),2))</f>
        <v>0</v>
      </c>
      <c r="BE36" s="12"/>
      <c r="BF36" s="12"/>
      <c r="BG36" s="12"/>
      <c r="BH36" s="46">
        <f>IF(OR($G$4="MEDIA",$G$4="BASICA - TERCER CICLO"),ROUND(((BE36*$BE$11)+(BF36*$BF$11)+(BG36*$BG$11)*100)/30%,2),ROUND(((BE36*$BE$11)+(BF36*$BF$11)+(BG36*$BG$11)*100)/30%,2))</f>
        <v>0</v>
      </c>
      <c r="BI36" s="12"/>
      <c r="BJ36" s="14">
        <f>IF(OR($G$4="MEDIA",$G$4="BASICA - TERCER CICLO"),ROUND((BI36*$BI$11),2),ROUND((BI36*$BI$11),0))</f>
        <v>0</v>
      </c>
      <c r="BK36" s="47">
        <f>ROUND((AX36+BD36+BH36)/3,1)</f>
        <v>0</v>
      </c>
      <c r="BL36" s="12"/>
      <c r="BM36" s="12"/>
      <c r="BN36" s="12"/>
      <c r="BO36" s="12"/>
      <c r="BP36" s="12"/>
      <c r="BQ36" s="13">
        <f>IF(OR($G$4="MEDIA",$G$4="BASICA - TERCER CICLO"),ROUND(((BL36*$BL$11)+(BM36*$BM$11)+(BN36*$BN$11)+(BO36*$BO$11)+(BP36*$BP$11)*100)/35%,2),ROUND(((BL36*$BL$11)+(BM36*$BM$11)+(BN36*$BN$11)+(BO36*$BO$11)+(BP36*$BP$11)*100)/35%,2))</f>
        <v>0</v>
      </c>
      <c r="BR36" s="12"/>
      <c r="BS36" s="12"/>
      <c r="BT36" s="12"/>
      <c r="BU36" s="12"/>
      <c r="BV36" s="12"/>
      <c r="BW36" s="13">
        <f>IF(OR($G$4="MEDIA",$G$4="BASICA - TERCER CICLO"),ROUND(((BR36*$BR$11)+(BS36*$BS$11)+(BT36*$BT$11)+(BU36*$BU$11)+(BV36*$BV$11)*100)/35%,2),ROUND(((BR36*$BR$11)+(BS36*$BS$11)+(BT36*$BT$11)+(BU36*$BU$11)+(BV36*$BP$11)*100)/35%,2))</f>
        <v>0</v>
      </c>
      <c r="BX36" s="12"/>
      <c r="BY36" s="12"/>
      <c r="BZ36" s="12"/>
      <c r="CA36" s="13">
        <f>IF(OR($G$4="MEDIA",$G$4="BASICA - TERCER CICLO"),ROUND(((BX36*$BX$11)+(BY36*$BY$11)+(BZ36*$BZ$11)*100)/30%,2),ROUND(((BX36*$BX$11)+(BY36*$BY$11)+(BZ36*$BZ$11)*100)/30%,2))</f>
        <v>0</v>
      </c>
      <c r="CB36" s="12"/>
      <c r="CC36" s="14">
        <f>IF(OR($G$4="MEDIA",$G$4="BASICA - TERCER CICLO"),ROUND((CB36*$BI$11),2),ROUND((CB36*$BI$11),0))</f>
        <v>0</v>
      </c>
      <c r="CD36" s="28">
        <f>IF(OR($G$4="MEDIA",$G$4="BASICA - TERCER CICLO"),ROUND((BQ36+BW36+CA36+CC36),1),IF($G$4="BASICA",ROUND((BQ36+BW36+CA36+CC36),0),ROUND((BQ36+BW36+CA36+CC36),1)))</f>
        <v>0</v>
      </c>
      <c r="CE36" s="28">
        <f>IF($G$4 = "MEDIA",ROUND(((Y36+AR36+BK36+CD36)/4),0),ROUND(((Y36+AR36+BK36)/3),0))</f>
        <v>0</v>
      </c>
      <c r="CF36" s="21"/>
      <c r="CG36" s="28">
        <f>IF(AND(CE36&lt;5,$G$4="BASICA"),ROUND((CE36+CF36)/2,0),IF(AND(CE36&lt;6,$G$4="MEDIA"),ROUND((CE36+CF36)/2,0),CE36))</f>
        <v>0</v>
      </c>
      <c r="CH36" s="16" t="str">
        <f>IF($G$4="MEDIA",IF(CG36&gt;=6,"Aprobado","Reprobado"),IF(CG36&gt;=5,"Aprobado","Reprobado"))</f>
        <v>Reprobado</v>
      </c>
    </row>
    <row r="37" spans="1:86" customHeight="1" ht="20.25">
      <c r="A37" s="39">
        <v>25</v>
      </c>
      <c r="B37" s="2">
        <v>10335712</v>
      </c>
      <c r="C37" s="2">
        <v>5041</v>
      </c>
      <c r="D37" s="2">
        <v>26973</v>
      </c>
      <c r="E37" s="2" t="s">
        <v>62</v>
      </c>
      <c r="F37" s="40" t="s">
        <v>39</v>
      </c>
      <c r="G37" s="31"/>
      <c r="H37" s="7"/>
      <c r="I37" s="7"/>
      <c r="J37" s="7"/>
      <c r="K37" s="7"/>
      <c r="L37" s="46">
        <f>IF(OR($G$4="MEDIA",$G$4="BASICA - TERCER CICLO"),ROUND(((G37*$G$11)+(H37*$H$11)+(I37*$I$11)+(J37*$J$11)+(K37*$K$11)*100)/35%,2),ROUND((G37*$G$11)+(H37*$H$11)+(I37*$I$11)+(J37*$J$11)+(K37*$K$11),2))</f>
        <v>0</v>
      </c>
      <c r="M37" s="7"/>
      <c r="N37" s="7"/>
      <c r="O37" s="7"/>
      <c r="P37" s="7"/>
      <c r="Q37" s="7"/>
      <c r="R37" s="46">
        <f>IF(OR($G$4="MEDIA",$G$4="BASICA - TERCER CICLO"),ROUND(((M37*$M$11)+(N37*$N$11)+(O37*$O$11)+(P37*$P$11)+(Q37*$Q$11)*100)/35%,2),ROUND((M37*$M$11)+(N37*$N$11)+(O37*$O$11)+(P37*$P$11)+(Q37*$Q$11),2))</f>
        <v>0</v>
      </c>
      <c r="S37" s="7"/>
      <c r="T37" s="7"/>
      <c r="U37" s="7"/>
      <c r="V37" s="13">
        <f>IF(OR($G$4="MEDIA",$G$4="BASICA - TERCER CICLO"),ROUND(((S37*$S$11)+(T37*$T$11)+(U37*$U$11)*100)/30%,2),ROUND(((S37*$S$11)+(T37*$T$11)+(U37*$U$11)*100)/30%,2))</f>
        <v>0</v>
      </c>
      <c r="W37" s="7"/>
      <c r="X37" s="14">
        <f>IF(OR($G$4="MEDIA",$G$4="BASICA - TERCER CICLO"),ROUND((W37*$W$11),2),ROUND((W37*$W$11),0))</f>
        <v>0</v>
      </c>
      <c r="Y37" s="47">
        <f>ROUND((L37+R37+V37)/3,1)</f>
        <v>0</v>
      </c>
      <c r="Z37" s="7"/>
      <c r="AA37" s="7"/>
      <c r="AB37" s="7"/>
      <c r="AC37" s="7"/>
      <c r="AD37" s="7"/>
      <c r="AE37" s="46">
        <f>IF(OR($G$4="MEDIA",$G$4="BASICA - TERCER CICLO"),ROUND(((Z37*$Z$11)+(AA37*$AA$11)+(AB37*$AB$11)+(AC37*$AC$11)+(AD37*$AD$11)*100)/35%,2),ROUND((Z37*$Z$11)+(AA37*$AA$11)+(AB37*$AB$11)+(AC37*$AC$11)+(AD37*$AD$11),2))</f>
        <v>0</v>
      </c>
      <c r="AF37" s="7"/>
      <c r="AG37" s="7"/>
      <c r="AH37" s="7"/>
      <c r="AI37" s="7"/>
      <c r="AJ37" s="7"/>
      <c r="AK37" s="46">
        <f>IF(OR($G$4="MEDIA",$G$4="BASICA - TERCER CICLO"),ROUND(((AF37*$AF$11)+(AG37*$AG$11)+(AH37*$AH$11)+(AI37*$AI$11)+(AJ37*$AJ$11)*100)/35%,2),ROUND((AF37*$AF$11)+(AG37*$AG$11)+(AH37*$AH$11)+(AI37*$AI$11)+(AJ37*$AJ$11),2))</f>
        <v>0</v>
      </c>
      <c r="AL37" s="7"/>
      <c r="AM37" s="7"/>
      <c r="AN37" s="7"/>
      <c r="AO37" s="46">
        <f>IF(OR($G$4="MEDIA",$G$4="BASICA - TERCER CICLO"),ROUND(((AL37*$AL$11)+(AM37*$AM$11)+(AN37*$AN$11)*100)/30%,2),ROUND(((AL37*$AL$11)+(AM37*$AM$11)+(AN37*$AN$11)*100)/30%,2))</f>
        <v>0</v>
      </c>
      <c r="AP37" s="7"/>
      <c r="AQ37" s="14">
        <f>IF(OR($G$4="MEDIA",$G$4="BASICA - TERCER CICLO"),ROUND((AP37*$AP$11),2),ROUND((AP37*$AP$11),0))</f>
        <v>0</v>
      </c>
      <c r="AR37" s="47">
        <f>ROUND((AE37+AK37+AO37)/3,1)</f>
        <v>0</v>
      </c>
      <c r="AS37" s="7"/>
      <c r="AT37" s="7"/>
      <c r="AU37" s="7"/>
      <c r="AV37" s="7"/>
      <c r="AW37" s="7"/>
      <c r="AX37" s="46">
        <f>IF(OR($G$4="MEDIA",$G$4="BASICA - TERCER CICLO"),ROUND(((AS37*$AS$11)+(AT37*$AT$11)+(AU37*$AU$11)+(AV37*$AV$11)+(AW37*$AW$11)*100)/35%,2),ROUND((AS37*$AS$11)+(AT37*$AT$11)+(AU37*$AU$11)+(AV37*$AV$11)+(AW37*$AW$11),2))</f>
        <v>0</v>
      </c>
      <c r="AY37" s="7"/>
      <c r="AZ37" s="7"/>
      <c r="BA37" s="7"/>
      <c r="BB37" s="7"/>
      <c r="BC37" s="7"/>
      <c r="BD37" s="46">
        <f>IF(OR($G$4="MEDIA",$G$4="BASICA - TERCER CICLO"),ROUND(((AY37*$AY$11)+(AZ37*$AZ$11)+(BA37*$BA$11)+(BB37*$BB$11)+(BC37*$BC$11)*100)/35%,2),ROUND((AY37*$AY$11)+(AZ37*$AZ$11)+(BA37*$BA$11)+(BB37*$BB$11)+(BC37*$BC$11),2))</f>
        <v>0</v>
      </c>
      <c r="BE37" s="7"/>
      <c r="BF37" s="7"/>
      <c r="BG37" s="7"/>
      <c r="BH37" s="46">
        <f>IF(OR($G$4="MEDIA",$G$4="BASICA - TERCER CICLO"),ROUND(((BE37*$BE$11)+(BF37*$BF$11)+(BG37*$BG$11)*100)/30%,2),ROUND(((BE37*$BE$11)+(BF37*$BF$11)+(BG37*$BG$11)*100)/30%,2))</f>
        <v>0</v>
      </c>
      <c r="BI37" s="7"/>
      <c r="BJ37" s="14">
        <f>IF(OR($G$4="MEDIA",$G$4="BASICA - TERCER CICLO"),ROUND((BI37*$BI$11),2),ROUND((BI37*$BI$11),0))</f>
        <v>0</v>
      </c>
      <c r="BK37" s="47">
        <f>ROUND((AX37+BD37+BH37)/3,1)</f>
        <v>0</v>
      </c>
      <c r="BL37" s="7"/>
      <c r="BM37" s="7"/>
      <c r="BN37" s="7"/>
      <c r="BO37" s="7"/>
      <c r="BP37" s="7"/>
      <c r="BQ37" s="13">
        <f>IF(OR($G$4="MEDIA",$G$4="BASICA - TERCER CICLO"),ROUND(((BL37*$BL$11)+(BM37*$BM$11)+(BN37*$BN$11)+(BO37*$BO$11)+(BP37*$BP$11)*100)/35%,2),ROUND(((BL37*$BL$11)+(BM37*$BM$11)+(BN37*$BN$11)+(BO37*$BO$11)+(BP37*$BP$11)*100)/35%,2))</f>
        <v>0</v>
      </c>
      <c r="BR37" s="7"/>
      <c r="BS37" s="7"/>
      <c r="BT37" s="7"/>
      <c r="BU37" s="7"/>
      <c r="BV37" s="7"/>
      <c r="BW37" s="13">
        <f>IF(OR($G$4="MEDIA",$G$4="BASICA - TERCER CICLO"),ROUND(((BR37*$BR$11)+(BS37*$BS$11)+(BT37*$BT$11)+(BU37*$BU$11)+(BV37*$BV$11)*100)/35%,2),ROUND(((BR37*$BR$11)+(BS37*$BS$11)+(BT37*$BT$11)+(BU37*$BU$11)+(BV37*$BP$11)*100)/35%,2))</f>
        <v>0</v>
      </c>
      <c r="BX37" s="7"/>
      <c r="BY37" s="7"/>
      <c r="BZ37" s="7"/>
      <c r="CA37" s="13">
        <f>IF(OR($G$4="MEDIA",$G$4="BASICA - TERCER CICLO"),ROUND(((BX37*$BX$11)+(BY37*$BY$11)+(BZ37*$BZ$11)*100)/30%,2),ROUND(((BX37*$BX$11)+(BY37*$BY$11)+(BZ37*$BZ$11)*100)/30%,2))</f>
        <v>0</v>
      </c>
      <c r="CB37" s="7"/>
      <c r="CC37" s="14">
        <f>IF(OR($G$4="MEDIA",$G$4="BASICA - TERCER CICLO"),ROUND((CB37*$BI$11),2),ROUND((CB37*$BI$11),0))</f>
        <v>0</v>
      </c>
      <c r="CD37" s="28">
        <f>IF(OR($G$4="MEDIA",$G$4="BASICA - TERCER CICLO"),ROUND((BQ37+BW37+CA37+CC37),1),IF($G$4="BASICA",ROUND((BQ37+BW37+CA37+CC37),0),ROUND((BQ37+BW37+CA37+CC37),1)))</f>
        <v>0</v>
      </c>
      <c r="CE37" s="28">
        <f>IF($G$4 = "MEDIA",ROUND(((Y37+AR37+BK37+CD37)/4),0),ROUND(((Y37+AR37+BK37)/3),0))</f>
        <v>0</v>
      </c>
      <c r="CF37" s="20"/>
      <c r="CG37" s="28">
        <f>IF(AND(CE37&lt;5,$G$4="BASICA"),ROUND((CE37+CF37)/2,0),IF(AND(CE37&lt;6,$G$4="MEDIA"),ROUND((CE37+CF37)/2,0),CE37))</f>
        <v>0</v>
      </c>
      <c r="CH37" s="17" t="str">
        <f>IF($G$4="MEDIA",IF(CG37&gt;=6,"Aprobado","Reprobado"),IF(CG37&gt;=5,"Aprobado","Reprobado"))</f>
        <v>Reprobado</v>
      </c>
    </row>
    <row r="38" spans="1:86" customHeight="1" ht="20.25">
      <c r="A38" s="41">
        <v>26</v>
      </c>
      <c r="B38" s="3">
        <v>10374427</v>
      </c>
      <c r="C38" s="3">
        <v>5320</v>
      </c>
      <c r="D38" s="3">
        <v>26974</v>
      </c>
      <c r="E38" s="3" t="s">
        <v>63</v>
      </c>
      <c r="F38" s="42" t="s">
        <v>39</v>
      </c>
      <c r="G38" s="32"/>
      <c r="H38" s="12"/>
      <c r="I38" s="12"/>
      <c r="J38" s="12"/>
      <c r="K38" s="12"/>
      <c r="L38" s="46">
        <f>IF(OR($G$4="MEDIA",$G$4="BASICA - TERCER CICLO"),ROUND(((G38*$G$11)+(H38*$H$11)+(I38*$I$11)+(J38*$J$11)+(K38*$K$11)*100)/35%,2),ROUND((G38*$G$11)+(H38*$H$11)+(I38*$I$11)+(J38*$J$11)+(K38*$K$11),2))</f>
        <v>0</v>
      </c>
      <c r="M38" s="12"/>
      <c r="N38" s="12"/>
      <c r="O38" s="12"/>
      <c r="P38" s="12"/>
      <c r="Q38" s="12"/>
      <c r="R38" s="46">
        <f>IF(OR($G$4="MEDIA",$G$4="BASICA - TERCER CICLO"),ROUND(((M38*$M$11)+(N38*$N$11)+(O38*$O$11)+(P38*$P$11)+(Q38*$Q$11)*100)/35%,2),ROUND((M38*$M$11)+(N38*$N$11)+(O38*$O$11)+(P38*$P$11)+(Q38*$Q$11),2))</f>
        <v>0</v>
      </c>
      <c r="S38" s="12"/>
      <c r="T38" s="12"/>
      <c r="U38" s="12"/>
      <c r="V38" s="13">
        <f>IF(OR($G$4="MEDIA",$G$4="BASICA - TERCER CICLO"),ROUND(((S38*$S$11)+(T38*$T$11)+(U38*$U$11)*100)/30%,2),ROUND(((S38*$S$11)+(T38*$T$11)+(U38*$U$11)*100)/30%,2))</f>
        <v>0</v>
      </c>
      <c r="W38" s="12"/>
      <c r="X38" s="14">
        <f>IF(OR($G$4="MEDIA",$G$4="BASICA - TERCER CICLO"),ROUND((W38*$W$11),2),ROUND((W38*$W$11),0))</f>
        <v>0</v>
      </c>
      <c r="Y38" s="47">
        <f>ROUND((L38+R38+V38)/3,1)</f>
        <v>0</v>
      </c>
      <c r="Z38" s="12"/>
      <c r="AA38" s="12"/>
      <c r="AB38" s="12"/>
      <c r="AC38" s="12"/>
      <c r="AD38" s="12"/>
      <c r="AE38" s="46">
        <f>IF(OR($G$4="MEDIA",$G$4="BASICA - TERCER CICLO"),ROUND(((Z38*$Z$11)+(AA38*$AA$11)+(AB38*$AB$11)+(AC38*$AC$11)+(AD38*$AD$11)*100)/35%,2),ROUND((Z38*$Z$11)+(AA38*$AA$11)+(AB38*$AB$11)+(AC38*$AC$11)+(AD38*$AD$11),2))</f>
        <v>0</v>
      </c>
      <c r="AF38" s="12"/>
      <c r="AG38" s="12"/>
      <c r="AH38" s="12"/>
      <c r="AI38" s="12"/>
      <c r="AJ38" s="12"/>
      <c r="AK38" s="46">
        <f>IF(OR($G$4="MEDIA",$G$4="BASICA - TERCER CICLO"),ROUND(((AF38*$AF$11)+(AG38*$AG$11)+(AH38*$AH$11)+(AI38*$AI$11)+(AJ38*$AJ$11)*100)/35%,2),ROUND((AF38*$AF$11)+(AG38*$AG$11)+(AH38*$AH$11)+(AI38*$AI$11)+(AJ38*$AJ$11),2))</f>
        <v>0</v>
      </c>
      <c r="AL38" s="12"/>
      <c r="AM38" s="12"/>
      <c r="AN38" s="12"/>
      <c r="AO38" s="46">
        <f>IF(OR($G$4="MEDIA",$G$4="BASICA - TERCER CICLO"),ROUND(((AL38*$AL$11)+(AM38*$AM$11)+(AN38*$AN$11)*100)/30%,2),ROUND(((AL38*$AL$11)+(AM38*$AM$11)+(AN38*$AN$11)*100)/30%,2))</f>
        <v>0</v>
      </c>
      <c r="AP38" s="12"/>
      <c r="AQ38" s="14">
        <f>IF(OR($G$4="MEDIA",$G$4="BASICA - TERCER CICLO"),ROUND((AP38*$AP$11),2),ROUND((AP38*$AP$11),0))</f>
        <v>0</v>
      </c>
      <c r="AR38" s="47">
        <f>ROUND((AE38+AK38+AO38)/3,1)</f>
        <v>0</v>
      </c>
      <c r="AS38" s="12"/>
      <c r="AT38" s="12"/>
      <c r="AU38" s="12"/>
      <c r="AV38" s="12"/>
      <c r="AW38" s="12"/>
      <c r="AX38" s="46">
        <f>IF(OR($G$4="MEDIA",$G$4="BASICA - TERCER CICLO"),ROUND(((AS38*$AS$11)+(AT38*$AT$11)+(AU38*$AU$11)+(AV38*$AV$11)+(AW38*$AW$11)*100)/35%,2),ROUND((AS38*$AS$11)+(AT38*$AT$11)+(AU38*$AU$11)+(AV38*$AV$11)+(AW38*$AW$11),2))</f>
        <v>0</v>
      </c>
      <c r="AY38" s="12"/>
      <c r="AZ38" s="12"/>
      <c r="BA38" s="12"/>
      <c r="BB38" s="12"/>
      <c r="BC38" s="12"/>
      <c r="BD38" s="46">
        <f>IF(OR($G$4="MEDIA",$G$4="BASICA - TERCER CICLO"),ROUND(((AY38*$AY$11)+(AZ38*$AZ$11)+(BA38*$BA$11)+(BB38*$BB$11)+(BC38*$BC$11)*100)/35%,2),ROUND((AY38*$AY$11)+(AZ38*$AZ$11)+(BA38*$BA$11)+(BB38*$BB$11)+(BC38*$BC$11),2))</f>
        <v>0</v>
      </c>
      <c r="BE38" s="12"/>
      <c r="BF38" s="12"/>
      <c r="BG38" s="12"/>
      <c r="BH38" s="46">
        <f>IF(OR($G$4="MEDIA",$G$4="BASICA - TERCER CICLO"),ROUND(((BE38*$BE$11)+(BF38*$BF$11)+(BG38*$BG$11)*100)/30%,2),ROUND(((BE38*$BE$11)+(BF38*$BF$11)+(BG38*$BG$11)*100)/30%,2))</f>
        <v>0</v>
      </c>
      <c r="BI38" s="12"/>
      <c r="BJ38" s="14">
        <f>IF(OR($G$4="MEDIA",$G$4="BASICA - TERCER CICLO"),ROUND((BI38*$BI$11),2),ROUND((BI38*$BI$11),0))</f>
        <v>0</v>
      </c>
      <c r="BK38" s="47">
        <f>ROUND((AX38+BD38+BH38)/3,1)</f>
        <v>0</v>
      </c>
      <c r="BL38" s="12"/>
      <c r="BM38" s="12"/>
      <c r="BN38" s="12"/>
      <c r="BO38" s="12"/>
      <c r="BP38" s="12"/>
      <c r="BQ38" s="13">
        <f>IF(OR($G$4="MEDIA",$G$4="BASICA - TERCER CICLO"),ROUND(((BL38*$BL$11)+(BM38*$BM$11)+(BN38*$BN$11)+(BO38*$BO$11)+(BP38*$BP$11)*100)/35%,2),ROUND(((BL38*$BL$11)+(BM38*$BM$11)+(BN38*$BN$11)+(BO38*$BO$11)+(BP38*$BP$11)*100)/35%,2))</f>
        <v>0</v>
      </c>
      <c r="BR38" s="12"/>
      <c r="BS38" s="12"/>
      <c r="BT38" s="12"/>
      <c r="BU38" s="12"/>
      <c r="BV38" s="12"/>
      <c r="BW38" s="13">
        <f>IF(OR($G$4="MEDIA",$G$4="BASICA - TERCER CICLO"),ROUND(((BR38*$BR$11)+(BS38*$BS$11)+(BT38*$BT$11)+(BU38*$BU$11)+(BV38*$BV$11)*100)/35%,2),ROUND(((BR38*$BR$11)+(BS38*$BS$11)+(BT38*$BT$11)+(BU38*$BU$11)+(BV38*$BP$11)*100)/35%,2))</f>
        <v>0</v>
      </c>
      <c r="BX38" s="12"/>
      <c r="BY38" s="12"/>
      <c r="BZ38" s="12"/>
      <c r="CA38" s="13">
        <f>IF(OR($G$4="MEDIA",$G$4="BASICA - TERCER CICLO"),ROUND(((BX38*$BX$11)+(BY38*$BY$11)+(BZ38*$BZ$11)*100)/30%,2),ROUND(((BX38*$BX$11)+(BY38*$BY$11)+(BZ38*$BZ$11)*100)/30%,2))</f>
        <v>0</v>
      </c>
      <c r="CB38" s="12"/>
      <c r="CC38" s="14">
        <f>IF(OR($G$4="MEDIA",$G$4="BASICA - TERCER CICLO"),ROUND((CB38*$BI$11),2),ROUND((CB38*$BI$11),0))</f>
        <v>0</v>
      </c>
      <c r="CD38" s="28">
        <f>IF(OR($G$4="MEDIA",$G$4="BASICA - TERCER CICLO"),ROUND((BQ38+BW38+CA38+CC38),1),IF($G$4="BASICA",ROUND((BQ38+BW38+CA38+CC38),0),ROUND((BQ38+BW38+CA38+CC38),1)))</f>
        <v>0</v>
      </c>
      <c r="CE38" s="28">
        <f>IF($G$4 = "MEDIA",ROUND(((Y38+AR38+BK38+CD38)/4),0),ROUND(((Y38+AR38+BK38)/3),0))</f>
        <v>0</v>
      </c>
      <c r="CF38" s="21"/>
      <c r="CG38" s="28">
        <f>IF(AND(CE38&lt;5,$G$4="BASICA"),ROUND((CE38+CF38)/2,0),IF(AND(CE38&lt;6,$G$4="MEDIA"),ROUND((CE38+CF38)/2,0),CE38))</f>
        <v>0</v>
      </c>
      <c r="CH38" s="16" t="str">
        <f>IF($G$4="MEDIA",IF(CG38&gt;=6,"Aprobado","Reprobado"),IF(CG38&gt;=5,"Aprobado","Reprobado"))</f>
        <v>Reprobado</v>
      </c>
    </row>
    <row r="39" spans="1:86" customHeight="1" ht="20.25">
      <c r="A39" s="39">
        <v>27</v>
      </c>
      <c r="B39" s="2">
        <v>10635365</v>
      </c>
      <c r="C39" s="2">
        <v>4887</v>
      </c>
      <c r="D39" s="2">
        <v>26975</v>
      </c>
      <c r="E39" s="2" t="s">
        <v>64</v>
      </c>
      <c r="F39" s="40" t="s">
        <v>37</v>
      </c>
      <c r="G39" s="31"/>
      <c r="H39" s="7"/>
      <c r="I39" s="7"/>
      <c r="J39" s="7"/>
      <c r="K39" s="7"/>
      <c r="L39" s="46">
        <f>IF(OR($G$4="MEDIA",$G$4="BASICA - TERCER CICLO"),ROUND(((G39*$G$11)+(H39*$H$11)+(I39*$I$11)+(J39*$J$11)+(K39*$K$11)*100)/35%,2),ROUND((G39*$G$11)+(H39*$H$11)+(I39*$I$11)+(J39*$J$11)+(K39*$K$11),2))</f>
        <v>0</v>
      </c>
      <c r="M39" s="7"/>
      <c r="N39" s="7"/>
      <c r="O39" s="7"/>
      <c r="P39" s="7"/>
      <c r="Q39" s="7"/>
      <c r="R39" s="46">
        <f>IF(OR($G$4="MEDIA",$G$4="BASICA - TERCER CICLO"),ROUND(((M39*$M$11)+(N39*$N$11)+(O39*$O$11)+(P39*$P$11)+(Q39*$Q$11)*100)/35%,2),ROUND((M39*$M$11)+(N39*$N$11)+(O39*$O$11)+(P39*$P$11)+(Q39*$Q$11),2))</f>
        <v>0</v>
      </c>
      <c r="S39" s="7"/>
      <c r="T39" s="7"/>
      <c r="U39" s="7"/>
      <c r="V39" s="13">
        <f>IF(OR($G$4="MEDIA",$G$4="BASICA - TERCER CICLO"),ROUND(((S39*$S$11)+(T39*$T$11)+(U39*$U$11)*100)/30%,2),ROUND(((S39*$S$11)+(T39*$T$11)+(U39*$U$11)*100)/30%,2))</f>
        <v>0</v>
      </c>
      <c r="W39" s="7"/>
      <c r="X39" s="14">
        <f>IF(OR($G$4="MEDIA",$G$4="BASICA - TERCER CICLO"),ROUND((W39*$W$11),2),ROUND((W39*$W$11),0))</f>
        <v>0</v>
      </c>
      <c r="Y39" s="47">
        <f>ROUND((L39+R39+V39)/3,1)</f>
        <v>0</v>
      </c>
      <c r="Z39" s="7"/>
      <c r="AA39" s="7"/>
      <c r="AB39" s="7"/>
      <c r="AC39" s="7"/>
      <c r="AD39" s="7"/>
      <c r="AE39" s="46">
        <f>IF(OR($G$4="MEDIA",$G$4="BASICA - TERCER CICLO"),ROUND(((Z39*$Z$11)+(AA39*$AA$11)+(AB39*$AB$11)+(AC39*$AC$11)+(AD39*$AD$11)*100)/35%,2),ROUND((Z39*$Z$11)+(AA39*$AA$11)+(AB39*$AB$11)+(AC39*$AC$11)+(AD39*$AD$11),2))</f>
        <v>0</v>
      </c>
      <c r="AF39" s="7"/>
      <c r="AG39" s="7"/>
      <c r="AH39" s="7"/>
      <c r="AI39" s="7"/>
      <c r="AJ39" s="7"/>
      <c r="AK39" s="46">
        <f>IF(OR($G$4="MEDIA",$G$4="BASICA - TERCER CICLO"),ROUND(((AF39*$AF$11)+(AG39*$AG$11)+(AH39*$AH$11)+(AI39*$AI$11)+(AJ39*$AJ$11)*100)/35%,2),ROUND((AF39*$AF$11)+(AG39*$AG$11)+(AH39*$AH$11)+(AI39*$AI$11)+(AJ39*$AJ$11),2))</f>
        <v>0</v>
      </c>
      <c r="AL39" s="7"/>
      <c r="AM39" s="7"/>
      <c r="AN39" s="7"/>
      <c r="AO39" s="46">
        <f>IF(OR($G$4="MEDIA",$G$4="BASICA - TERCER CICLO"),ROUND(((AL39*$AL$11)+(AM39*$AM$11)+(AN39*$AN$11)*100)/30%,2),ROUND(((AL39*$AL$11)+(AM39*$AM$11)+(AN39*$AN$11)*100)/30%,2))</f>
        <v>0</v>
      </c>
      <c r="AP39" s="7"/>
      <c r="AQ39" s="14">
        <f>IF(OR($G$4="MEDIA",$G$4="BASICA - TERCER CICLO"),ROUND((AP39*$AP$11),2),ROUND((AP39*$AP$11),0))</f>
        <v>0</v>
      </c>
      <c r="AR39" s="47">
        <f>ROUND((AE39+AK39+AO39)/3,1)</f>
        <v>0</v>
      </c>
      <c r="AS39" s="7"/>
      <c r="AT39" s="7"/>
      <c r="AU39" s="7"/>
      <c r="AV39" s="7"/>
      <c r="AW39" s="7"/>
      <c r="AX39" s="46">
        <f>IF(OR($G$4="MEDIA",$G$4="BASICA - TERCER CICLO"),ROUND(((AS39*$AS$11)+(AT39*$AT$11)+(AU39*$AU$11)+(AV39*$AV$11)+(AW39*$AW$11)*100)/35%,2),ROUND((AS39*$AS$11)+(AT39*$AT$11)+(AU39*$AU$11)+(AV39*$AV$11)+(AW39*$AW$11),2))</f>
        <v>0</v>
      </c>
      <c r="AY39" s="7"/>
      <c r="AZ39" s="7"/>
      <c r="BA39" s="7"/>
      <c r="BB39" s="7"/>
      <c r="BC39" s="7"/>
      <c r="BD39" s="46">
        <f>IF(OR($G$4="MEDIA",$G$4="BASICA - TERCER CICLO"),ROUND(((AY39*$AY$11)+(AZ39*$AZ$11)+(BA39*$BA$11)+(BB39*$BB$11)+(BC39*$BC$11)*100)/35%,2),ROUND((AY39*$AY$11)+(AZ39*$AZ$11)+(BA39*$BA$11)+(BB39*$BB$11)+(BC39*$BC$11),2))</f>
        <v>0</v>
      </c>
      <c r="BE39" s="7"/>
      <c r="BF39" s="7"/>
      <c r="BG39" s="7"/>
      <c r="BH39" s="46">
        <f>IF(OR($G$4="MEDIA",$G$4="BASICA - TERCER CICLO"),ROUND(((BE39*$BE$11)+(BF39*$BF$11)+(BG39*$BG$11)*100)/30%,2),ROUND(((BE39*$BE$11)+(BF39*$BF$11)+(BG39*$BG$11)*100)/30%,2))</f>
        <v>0</v>
      </c>
      <c r="BI39" s="7"/>
      <c r="BJ39" s="14">
        <f>IF(OR($G$4="MEDIA",$G$4="BASICA - TERCER CICLO"),ROUND((BI39*$BI$11),2),ROUND((BI39*$BI$11),0))</f>
        <v>0</v>
      </c>
      <c r="BK39" s="47">
        <f>ROUND((AX39+BD39+BH39)/3,1)</f>
        <v>0</v>
      </c>
      <c r="BL39" s="7"/>
      <c r="BM39" s="7"/>
      <c r="BN39" s="7"/>
      <c r="BO39" s="7"/>
      <c r="BP39" s="7"/>
      <c r="BQ39" s="13">
        <f>IF(OR($G$4="MEDIA",$G$4="BASICA - TERCER CICLO"),ROUND(((BL39*$BL$11)+(BM39*$BM$11)+(BN39*$BN$11)+(BO39*$BO$11)+(BP39*$BP$11)*100)/35%,2),ROUND(((BL39*$BL$11)+(BM39*$BM$11)+(BN39*$BN$11)+(BO39*$BO$11)+(BP39*$BP$11)*100)/35%,2))</f>
        <v>0</v>
      </c>
      <c r="BR39" s="7"/>
      <c r="BS39" s="7"/>
      <c r="BT39" s="7"/>
      <c r="BU39" s="7"/>
      <c r="BV39" s="7"/>
      <c r="BW39" s="13">
        <f>IF(OR($G$4="MEDIA",$G$4="BASICA - TERCER CICLO"),ROUND(((BR39*$BR$11)+(BS39*$BS$11)+(BT39*$BT$11)+(BU39*$BU$11)+(BV39*$BV$11)*100)/35%,2),ROUND(((BR39*$BR$11)+(BS39*$BS$11)+(BT39*$BT$11)+(BU39*$BU$11)+(BV39*$BP$11)*100)/35%,2))</f>
        <v>0</v>
      </c>
      <c r="BX39" s="7"/>
      <c r="BY39" s="7"/>
      <c r="BZ39" s="7"/>
      <c r="CA39" s="13">
        <f>IF(OR($G$4="MEDIA",$G$4="BASICA - TERCER CICLO"),ROUND(((BX39*$BX$11)+(BY39*$BY$11)+(BZ39*$BZ$11)*100)/30%,2),ROUND(((BX39*$BX$11)+(BY39*$BY$11)+(BZ39*$BZ$11)*100)/30%,2))</f>
        <v>0</v>
      </c>
      <c r="CB39" s="7"/>
      <c r="CC39" s="14">
        <f>IF(OR($G$4="MEDIA",$G$4="BASICA - TERCER CICLO"),ROUND((CB39*$BI$11),2),ROUND((CB39*$BI$11),0))</f>
        <v>0</v>
      </c>
      <c r="CD39" s="28">
        <f>IF(OR($G$4="MEDIA",$G$4="BASICA - TERCER CICLO"),ROUND((BQ39+BW39+CA39+CC39),1),IF($G$4="BASICA",ROUND((BQ39+BW39+CA39+CC39),0),ROUND((BQ39+BW39+CA39+CC39),1)))</f>
        <v>0</v>
      </c>
      <c r="CE39" s="28">
        <f>IF($G$4 = "MEDIA",ROUND(((Y39+AR39+BK39+CD39)/4),0),ROUND(((Y39+AR39+BK39)/3),0))</f>
        <v>0</v>
      </c>
      <c r="CF39" s="20"/>
      <c r="CG39" s="28">
        <f>IF(AND(CE39&lt;5,$G$4="BASICA"),ROUND((CE39+CF39)/2,0),IF(AND(CE39&lt;6,$G$4="MEDIA"),ROUND((CE39+CF39)/2,0),CE39))</f>
        <v>0</v>
      </c>
      <c r="CH39" s="17" t="str">
        <f>IF($G$4="MEDIA",IF(CG39&gt;=6,"Aprobado","Reprobado"),IF(CG39&gt;=5,"Aprobado","Reprobado"))</f>
        <v>Reprobado</v>
      </c>
    </row>
    <row r="40" spans="1:86" customHeight="1" ht="20.25">
      <c r="A40" s="41">
        <v>28</v>
      </c>
      <c r="B40" s="3">
        <v>10493318</v>
      </c>
      <c r="C40" s="3">
        <v>5095</v>
      </c>
      <c r="D40" s="3">
        <v>26976</v>
      </c>
      <c r="E40" s="3" t="s">
        <v>65</v>
      </c>
      <c r="F40" s="42" t="s">
        <v>39</v>
      </c>
      <c r="G40" s="32"/>
      <c r="H40" s="12"/>
      <c r="I40" s="12"/>
      <c r="J40" s="12"/>
      <c r="K40" s="12"/>
      <c r="L40" s="46">
        <f>IF(OR($G$4="MEDIA",$G$4="BASICA - TERCER CICLO"),ROUND(((G40*$G$11)+(H40*$H$11)+(I40*$I$11)+(J40*$J$11)+(K40*$K$11)*100)/35%,2),ROUND((G40*$G$11)+(H40*$H$11)+(I40*$I$11)+(J40*$J$11)+(K40*$K$11),2))</f>
        <v>0</v>
      </c>
      <c r="M40" s="12"/>
      <c r="N40" s="12"/>
      <c r="O40" s="12"/>
      <c r="P40" s="12"/>
      <c r="Q40" s="12"/>
      <c r="R40" s="46">
        <f>IF(OR($G$4="MEDIA",$G$4="BASICA - TERCER CICLO"),ROUND(((M40*$M$11)+(N40*$N$11)+(O40*$O$11)+(P40*$P$11)+(Q40*$Q$11)*100)/35%,2),ROUND((M40*$M$11)+(N40*$N$11)+(O40*$O$11)+(P40*$P$11)+(Q40*$Q$11),2))</f>
        <v>0</v>
      </c>
      <c r="S40" s="12"/>
      <c r="T40" s="12"/>
      <c r="U40" s="12"/>
      <c r="V40" s="13">
        <f>IF(OR($G$4="MEDIA",$G$4="BASICA - TERCER CICLO"),ROUND(((S40*$S$11)+(T40*$T$11)+(U40*$U$11)*100)/30%,2),ROUND(((S40*$S$11)+(T40*$T$11)+(U40*$U$11)*100)/30%,2))</f>
        <v>0</v>
      </c>
      <c r="W40" s="12"/>
      <c r="X40" s="14">
        <f>IF(OR($G$4="MEDIA",$G$4="BASICA - TERCER CICLO"),ROUND((W40*$W$11),2),ROUND((W40*$W$11),0))</f>
        <v>0</v>
      </c>
      <c r="Y40" s="47">
        <f>ROUND((L40+R40+V40)/3,1)</f>
        <v>0</v>
      </c>
      <c r="Z40" s="12"/>
      <c r="AA40" s="12"/>
      <c r="AB40" s="12"/>
      <c r="AC40" s="12"/>
      <c r="AD40" s="12"/>
      <c r="AE40" s="46">
        <f>IF(OR($G$4="MEDIA",$G$4="BASICA - TERCER CICLO"),ROUND(((Z40*$Z$11)+(AA40*$AA$11)+(AB40*$AB$11)+(AC40*$AC$11)+(AD40*$AD$11)*100)/35%,2),ROUND((Z40*$Z$11)+(AA40*$AA$11)+(AB40*$AB$11)+(AC40*$AC$11)+(AD40*$AD$11),2))</f>
        <v>0</v>
      </c>
      <c r="AF40" s="12"/>
      <c r="AG40" s="12"/>
      <c r="AH40" s="12"/>
      <c r="AI40" s="12"/>
      <c r="AJ40" s="12"/>
      <c r="AK40" s="46">
        <f>IF(OR($G$4="MEDIA",$G$4="BASICA - TERCER CICLO"),ROUND(((AF40*$AF$11)+(AG40*$AG$11)+(AH40*$AH$11)+(AI40*$AI$11)+(AJ40*$AJ$11)*100)/35%,2),ROUND((AF40*$AF$11)+(AG40*$AG$11)+(AH40*$AH$11)+(AI40*$AI$11)+(AJ40*$AJ$11),2))</f>
        <v>0</v>
      </c>
      <c r="AL40" s="12"/>
      <c r="AM40" s="12"/>
      <c r="AN40" s="12"/>
      <c r="AO40" s="46">
        <f>IF(OR($G$4="MEDIA",$G$4="BASICA - TERCER CICLO"),ROUND(((AL40*$AL$11)+(AM40*$AM$11)+(AN40*$AN$11)*100)/30%,2),ROUND(((AL40*$AL$11)+(AM40*$AM$11)+(AN40*$AN$11)*100)/30%,2))</f>
        <v>0</v>
      </c>
      <c r="AP40" s="12"/>
      <c r="AQ40" s="14">
        <f>IF(OR($G$4="MEDIA",$G$4="BASICA - TERCER CICLO"),ROUND((AP40*$AP$11),2),ROUND((AP40*$AP$11),0))</f>
        <v>0</v>
      </c>
      <c r="AR40" s="47">
        <f>ROUND((AE40+AK40+AO40)/3,1)</f>
        <v>0</v>
      </c>
      <c r="AS40" s="12"/>
      <c r="AT40" s="12"/>
      <c r="AU40" s="12"/>
      <c r="AV40" s="12"/>
      <c r="AW40" s="12"/>
      <c r="AX40" s="46">
        <f>IF(OR($G$4="MEDIA",$G$4="BASICA - TERCER CICLO"),ROUND(((AS40*$AS$11)+(AT40*$AT$11)+(AU40*$AU$11)+(AV40*$AV$11)+(AW40*$AW$11)*100)/35%,2),ROUND((AS40*$AS$11)+(AT40*$AT$11)+(AU40*$AU$11)+(AV40*$AV$11)+(AW40*$AW$11),2))</f>
        <v>0</v>
      </c>
      <c r="AY40" s="12"/>
      <c r="AZ40" s="12"/>
      <c r="BA40" s="12"/>
      <c r="BB40" s="12"/>
      <c r="BC40" s="12"/>
      <c r="BD40" s="46">
        <f>IF(OR($G$4="MEDIA",$G$4="BASICA - TERCER CICLO"),ROUND(((AY40*$AY$11)+(AZ40*$AZ$11)+(BA40*$BA$11)+(BB40*$BB$11)+(BC40*$BC$11)*100)/35%,2),ROUND((AY40*$AY$11)+(AZ40*$AZ$11)+(BA40*$BA$11)+(BB40*$BB$11)+(BC40*$BC$11),2))</f>
        <v>0</v>
      </c>
      <c r="BE40" s="12"/>
      <c r="BF40" s="12"/>
      <c r="BG40" s="12"/>
      <c r="BH40" s="46">
        <f>IF(OR($G$4="MEDIA",$G$4="BASICA - TERCER CICLO"),ROUND(((BE40*$BE$11)+(BF40*$BF$11)+(BG40*$BG$11)*100)/30%,2),ROUND(((BE40*$BE$11)+(BF40*$BF$11)+(BG40*$BG$11)*100)/30%,2))</f>
        <v>0</v>
      </c>
      <c r="BI40" s="12"/>
      <c r="BJ40" s="14">
        <f>IF(OR($G$4="MEDIA",$G$4="BASICA - TERCER CICLO"),ROUND((BI40*$BI$11),2),ROUND((BI40*$BI$11),0))</f>
        <v>0</v>
      </c>
      <c r="BK40" s="47">
        <f>ROUND((AX40+BD40+BH40)/3,1)</f>
        <v>0</v>
      </c>
      <c r="BL40" s="12"/>
      <c r="BM40" s="12"/>
      <c r="BN40" s="12"/>
      <c r="BO40" s="12"/>
      <c r="BP40" s="12"/>
      <c r="BQ40" s="13">
        <f>IF(OR($G$4="MEDIA",$G$4="BASICA - TERCER CICLO"),ROUND(((BL40*$BL$11)+(BM40*$BM$11)+(BN40*$BN$11)+(BO40*$BO$11)+(BP40*$BP$11)*100)/35%,2),ROUND(((BL40*$BL$11)+(BM40*$BM$11)+(BN40*$BN$11)+(BO40*$BO$11)+(BP40*$BP$11)*100)/35%,2))</f>
        <v>0</v>
      </c>
      <c r="BR40" s="12"/>
      <c r="BS40" s="12"/>
      <c r="BT40" s="12"/>
      <c r="BU40" s="12"/>
      <c r="BV40" s="12"/>
      <c r="BW40" s="13">
        <f>IF(OR($G$4="MEDIA",$G$4="BASICA - TERCER CICLO"),ROUND(((BR40*$BR$11)+(BS40*$BS$11)+(BT40*$BT$11)+(BU40*$BU$11)+(BV40*$BV$11)*100)/35%,2),ROUND(((BR40*$BR$11)+(BS40*$BS$11)+(BT40*$BT$11)+(BU40*$BU$11)+(BV40*$BP$11)*100)/35%,2))</f>
        <v>0</v>
      </c>
      <c r="BX40" s="12"/>
      <c r="BY40" s="12"/>
      <c r="BZ40" s="12"/>
      <c r="CA40" s="13">
        <f>IF(OR($G$4="MEDIA",$G$4="BASICA - TERCER CICLO"),ROUND(((BX40*$BX$11)+(BY40*$BY$11)+(BZ40*$BZ$11)*100)/30%,2),ROUND(((BX40*$BX$11)+(BY40*$BY$11)+(BZ40*$BZ$11)*100)/30%,2))</f>
        <v>0</v>
      </c>
      <c r="CB40" s="12"/>
      <c r="CC40" s="14">
        <f>IF(OR($G$4="MEDIA",$G$4="BASICA - TERCER CICLO"),ROUND((CB40*$BI$11),2),ROUND((CB40*$BI$11),0))</f>
        <v>0</v>
      </c>
      <c r="CD40" s="28">
        <f>IF(OR($G$4="MEDIA",$G$4="BASICA - TERCER CICLO"),ROUND((BQ40+BW40+CA40+CC40),1),IF($G$4="BASICA",ROUND((BQ40+BW40+CA40+CC40),0),ROUND((BQ40+BW40+CA40+CC40),1)))</f>
        <v>0</v>
      </c>
      <c r="CE40" s="28">
        <f>IF($G$4 = "MEDIA",ROUND(((Y40+AR40+BK40+CD40)/4),0),ROUND(((Y40+AR40+BK40)/3),0))</f>
        <v>0</v>
      </c>
      <c r="CF40" s="21"/>
      <c r="CG40" s="28">
        <f>IF(AND(CE40&lt;5,$G$4="BASICA"),ROUND((CE40+CF40)/2,0),IF(AND(CE40&lt;6,$G$4="MEDIA"),ROUND((CE40+CF40)/2,0),CE40))</f>
        <v>0</v>
      </c>
      <c r="CH40" s="16" t="str">
        <f>IF($G$4="MEDIA",IF(CG40&gt;=6,"Aprobado","Reprobado"),IF(CG40&gt;=5,"Aprobado","Reprobado"))</f>
        <v>Reprobado</v>
      </c>
    </row>
    <row r="41" spans="1:86" customHeight="1" ht="20.25">
      <c r="A41" s="39">
        <v>29</v>
      </c>
      <c r="B41" s="2">
        <v>10492452</v>
      </c>
      <c r="C41" s="2">
        <v>5489</v>
      </c>
      <c r="D41" s="2">
        <v>26977</v>
      </c>
      <c r="E41" s="2" t="s">
        <v>66</v>
      </c>
      <c r="F41" s="40" t="s">
        <v>37</v>
      </c>
      <c r="G41" s="31"/>
      <c r="H41" s="7"/>
      <c r="I41" s="7"/>
      <c r="J41" s="7"/>
      <c r="K41" s="7"/>
      <c r="L41" s="46">
        <f>IF(OR($G$4="MEDIA",$G$4="BASICA - TERCER CICLO"),ROUND(((G41*$G$11)+(H41*$H$11)+(I41*$I$11)+(J41*$J$11)+(K41*$K$11)*100)/35%,2),ROUND((G41*$G$11)+(H41*$H$11)+(I41*$I$11)+(J41*$J$11)+(K41*$K$11),2))</f>
        <v>0</v>
      </c>
      <c r="M41" s="7"/>
      <c r="N41" s="7"/>
      <c r="O41" s="7"/>
      <c r="P41" s="7"/>
      <c r="Q41" s="7"/>
      <c r="R41" s="46">
        <f>IF(OR($G$4="MEDIA",$G$4="BASICA - TERCER CICLO"),ROUND(((M41*$M$11)+(N41*$N$11)+(O41*$O$11)+(P41*$P$11)+(Q41*$Q$11)*100)/35%,2),ROUND((M41*$M$11)+(N41*$N$11)+(O41*$O$11)+(P41*$P$11)+(Q41*$Q$11),2))</f>
        <v>0</v>
      </c>
      <c r="S41" s="7"/>
      <c r="T41" s="7"/>
      <c r="U41" s="7"/>
      <c r="V41" s="13">
        <f>IF(OR($G$4="MEDIA",$G$4="BASICA - TERCER CICLO"),ROUND(((S41*$S$11)+(T41*$T$11)+(U41*$U$11)*100)/30%,2),ROUND(((S41*$S$11)+(T41*$T$11)+(U41*$U$11)*100)/30%,2))</f>
        <v>0</v>
      </c>
      <c r="W41" s="7"/>
      <c r="X41" s="14">
        <f>IF(OR($G$4="MEDIA",$G$4="BASICA - TERCER CICLO"),ROUND((W41*$W$11),2),ROUND((W41*$W$11),0))</f>
        <v>0</v>
      </c>
      <c r="Y41" s="47">
        <f>ROUND((L41+R41+V41)/3,1)</f>
        <v>0</v>
      </c>
      <c r="Z41" s="7"/>
      <c r="AA41" s="7"/>
      <c r="AB41" s="7"/>
      <c r="AC41" s="7"/>
      <c r="AD41" s="7"/>
      <c r="AE41" s="46">
        <f>IF(OR($G$4="MEDIA",$G$4="BASICA - TERCER CICLO"),ROUND(((Z41*$Z$11)+(AA41*$AA$11)+(AB41*$AB$11)+(AC41*$AC$11)+(AD41*$AD$11)*100)/35%,2),ROUND((Z41*$Z$11)+(AA41*$AA$11)+(AB41*$AB$11)+(AC41*$AC$11)+(AD41*$AD$11),2))</f>
        <v>0</v>
      </c>
      <c r="AF41" s="7"/>
      <c r="AG41" s="7"/>
      <c r="AH41" s="7"/>
      <c r="AI41" s="7"/>
      <c r="AJ41" s="7"/>
      <c r="AK41" s="46">
        <f>IF(OR($G$4="MEDIA",$G$4="BASICA - TERCER CICLO"),ROUND(((AF41*$AF$11)+(AG41*$AG$11)+(AH41*$AH$11)+(AI41*$AI$11)+(AJ41*$AJ$11)*100)/35%,2),ROUND((AF41*$AF$11)+(AG41*$AG$11)+(AH41*$AH$11)+(AI41*$AI$11)+(AJ41*$AJ$11),2))</f>
        <v>0</v>
      </c>
      <c r="AL41" s="7"/>
      <c r="AM41" s="7"/>
      <c r="AN41" s="7"/>
      <c r="AO41" s="46">
        <f>IF(OR($G$4="MEDIA",$G$4="BASICA - TERCER CICLO"),ROUND(((AL41*$AL$11)+(AM41*$AM$11)+(AN41*$AN$11)*100)/30%,2),ROUND(((AL41*$AL$11)+(AM41*$AM$11)+(AN41*$AN$11)*100)/30%,2))</f>
        <v>0</v>
      </c>
      <c r="AP41" s="7"/>
      <c r="AQ41" s="14">
        <f>IF(OR($G$4="MEDIA",$G$4="BASICA - TERCER CICLO"),ROUND((AP41*$AP$11),2),ROUND((AP41*$AP$11),0))</f>
        <v>0</v>
      </c>
      <c r="AR41" s="47">
        <f>ROUND((AE41+AK41+AO41)/3,1)</f>
        <v>0</v>
      </c>
      <c r="AS41" s="7"/>
      <c r="AT41" s="7"/>
      <c r="AU41" s="7"/>
      <c r="AV41" s="7"/>
      <c r="AW41" s="7"/>
      <c r="AX41" s="46">
        <f>IF(OR($G$4="MEDIA",$G$4="BASICA - TERCER CICLO"),ROUND(((AS41*$AS$11)+(AT41*$AT$11)+(AU41*$AU$11)+(AV41*$AV$11)+(AW41*$AW$11)*100)/35%,2),ROUND((AS41*$AS$11)+(AT41*$AT$11)+(AU41*$AU$11)+(AV41*$AV$11)+(AW41*$AW$11),2))</f>
        <v>0</v>
      </c>
      <c r="AY41" s="7"/>
      <c r="AZ41" s="7"/>
      <c r="BA41" s="7"/>
      <c r="BB41" s="7"/>
      <c r="BC41" s="7"/>
      <c r="BD41" s="46">
        <f>IF(OR($G$4="MEDIA",$G$4="BASICA - TERCER CICLO"),ROUND(((AY41*$AY$11)+(AZ41*$AZ$11)+(BA41*$BA$11)+(BB41*$BB$11)+(BC41*$BC$11)*100)/35%,2),ROUND((AY41*$AY$11)+(AZ41*$AZ$11)+(BA41*$BA$11)+(BB41*$BB$11)+(BC41*$BC$11),2))</f>
        <v>0</v>
      </c>
      <c r="BE41" s="7"/>
      <c r="BF41" s="7"/>
      <c r="BG41" s="7"/>
      <c r="BH41" s="46">
        <f>IF(OR($G$4="MEDIA",$G$4="BASICA - TERCER CICLO"),ROUND(((BE41*$BE$11)+(BF41*$BF$11)+(BG41*$BG$11)*100)/30%,2),ROUND(((BE41*$BE$11)+(BF41*$BF$11)+(BG41*$BG$11)*100)/30%,2))</f>
        <v>0</v>
      </c>
      <c r="BI41" s="7"/>
      <c r="BJ41" s="14">
        <f>IF(OR($G$4="MEDIA",$G$4="BASICA - TERCER CICLO"),ROUND((BI41*$BI$11),2),ROUND((BI41*$BI$11),0))</f>
        <v>0</v>
      </c>
      <c r="BK41" s="47">
        <f>ROUND((AX41+BD41+BH41)/3,1)</f>
        <v>0</v>
      </c>
      <c r="BL41" s="7"/>
      <c r="BM41" s="7"/>
      <c r="BN41" s="7"/>
      <c r="BO41" s="7"/>
      <c r="BP41" s="7"/>
      <c r="BQ41" s="13">
        <f>IF(OR($G$4="MEDIA",$G$4="BASICA - TERCER CICLO"),ROUND(((BL41*$BL$11)+(BM41*$BM$11)+(BN41*$BN$11)+(BO41*$BO$11)+(BP41*$BP$11)*100)/35%,2),ROUND(((BL41*$BL$11)+(BM41*$BM$11)+(BN41*$BN$11)+(BO41*$BO$11)+(BP41*$BP$11)*100)/35%,2))</f>
        <v>0</v>
      </c>
      <c r="BR41" s="7"/>
      <c r="BS41" s="7"/>
      <c r="BT41" s="7"/>
      <c r="BU41" s="7"/>
      <c r="BV41" s="7"/>
      <c r="BW41" s="13">
        <f>IF(OR($G$4="MEDIA",$G$4="BASICA - TERCER CICLO"),ROUND(((BR41*$BR$11)+(BS41*$BS$11)+(BT41*$BT$11)+(BU41*$BU$11)+(BV41*$BV$11)*100)/35%,2),ROUND(((BR41*$BR$11)+(BS41*$BS$11)+(BT41*$BT$11)+(BU41*$BU$11)+(BV41*$BP$11)*100)/35%,2))</f>
        <v>0</v>
      </c>
      <c r="BX41" s="7"/>
      <c r="BY41" s="7"/>
      <c r="BZ41" s="7"/>
      <c r="CA41" s="13">
        <f>IF(OR($G$4="MEDIA",$G$4="BASICA - TERCER CICLO"),ROUND(((BX41*$BX$11)+(BY41*$BY$11)+(BZ41*$BZ$11)*100)/30%,2),ROUND(((BX41*$BX$11)+(BY41*$BY$11)+(BZ41*$BZ$11)*100)/30%,2))</f>
        <v>0</v>
      </c>
      <c r="CB41" s="7"/>
      <c r="CC41" s="14">
        <f>IF(OR($G$4="MEDIA",$G$4="BASICA - TERCER CICLO"),ROUND((CB41*$BI$11),2),ROUND((CB41*$BI$11),0))</f>
        <v>0</v>
      </c>
      <c r="CD41" s="28">
        <f>IF(OR($G$4="MEDIA",$G$4="BASICA - TERCER CICLO"),ROUND((BQ41+BW41+CA41+CC41),1),IF($G$4="BASICA",ROUND((BQ41+BW41+CA41+CC41),0),ROUND((BQ41+BW41+CA41+CC41),1)))</f>
        <v>0</v>
      </c>
      <c r="CE41" s="28">
        <f>IF($G$4 = "MEDIA",ROUND(((Y41+AR41+BK41+CD41)/4),0),ROUND(((Y41+AR41+BK41)/3),0))</f>
        <v>0</v>
      </c>
      <c r="CF41" s="20"/>
      <c r="CG41" s="28">
        <f>IF(AND(CE41&lt;5,$G$4="BASICA"),ROUND((CE41+CF41)/2,0),IF(AND(CE41&lt;6,$G$4="MEDIA"),ROUND((CE41+CF41)/2,0),CE41))</f>
        <v>0</v>
      </c>
      <c r="CH41" s="17" t="str">
        <f>IF($G$4="MEDIA",IF(CG41&gt;=6,"Aprobado","Reprobado"),IF(CG41&gt;=5,"Aprobado","Reprobado"))</f>
        <v>Reprobado</v>
      </c>
    </row>
    <row r="42" spans="1:86" customHeight="1" ht="20.25">
      <c r="A42" s="41">
        <v>30</v>
      </c>
      <c r="B42" s="3">
        <v>10282528</v>
      </c>
      <c r="C42" s="3">
        <v>4395</v>
      </c>
      <c r="D42" s="3">
        <v>26978</v>
      </c>
      <c r="E42" s="3" t="s">
        <v>67</v>
      </c>
      <c r="F42" s="42" t="s">
        <v>39</v>
      </c>
      <c r="G42" s="32"/>
      <c r="H42" s="12"/>
      <c r="I42" s="12"/>
      <c r="J42" s="12"/>
      <c r="K42" s="12"/>
      <c r="L42" s="46">
        <f>IF(OR($G$4="MEDIA",$G$4="BASICA - TERCER CICLO"),ROUND(((G42*$G$11)+(H42*$H$11)+(I42*$I$11)+(J42*$J$11)+(K42*$K$11)*100)/35%,2),ROUND((G42*$G$11)+(H42*$H$11)+(I42*$I$11)+(J42*$J$11)+(K42*$K$11),2))</f>
        <v>0</v>
      </c>
      <c r="M42" s="12"/>
      <c r="N42" s="12"/>
      <c r="O42" s="12"/>
      <c r="P42" s="12"/>
      <c r="Q42" s="12"/>
      <c r="R42" s="46">
        <f>IF(OR($G$4="MEDIA",$G$4="BASICA - TERCER CICLO"),ROUND(((M42*$M$11)+(N42*$N$11)+(O42*$O$11)+(P42*$P$11)+(Q42*$Q$11)*100)/35%,2),ROUND((M42*$M$11)+(N42*$N$11)+(O42*$O$11)+(P42*$P$11)+(Q42*$Q$11),2))</f>
        <v>0</v>
      </c>
      <c r="S42" s="12"/>
      <c r="T42" s="12"/>
      <c r="U42" s="12"/>
      <c r="V42" s="13">
        <f>IF(OR($G$4="MEDIA",$G$4="BASICA - TERCER CICLO"),ROUND(((S42*$S$11)+(T42*$T$11)+(U42*$U$11)*100)/30%,2),ROUND(((S42*$S$11)+(T42*$T$11)+(U42*$U$11)*100)/30%,2))</f>
        <v>0</v>
      </c>
      <c r="W42" s="12"/>
      <c r="X42" s="14">
        <f>IF(OR($G$4="MEDIA",$G$4="BASICA - TERCER CICLO"),ROUND((W42*$W$11),2),ROUND((W42*$W$11),0))</f>
        <v>0</v>
      </c>
      <c r="Y42" s="47">
        <f>ROUND((L42+R42+V42)/3,1)</f>
        <v>0</v>
      </c>
      <c r="Z42" s="12"/>
      <c r="AA42" s="12"/>
      <c r="AB42" s="12"/>
      <c r="AC42" s="12"/>
      <c r="AD42" s="12"/>
      <c r="AE42" s="46">
        <f>IF(OR($G$4="MEDIA",$G$4="BASICA - TERCER CICLO"),ROUND(((Z42*$Z$11)+(AA42*$AA$11)+(AB42*$AB$11)+(AC42*$AC$11)+(AD42*$AD$11)*100)/35%,2),ROUND((Z42*$Z$11)+(AA42*$AA$11)+(AB42*$AB$11)+(AC42*$AC$11)+(AD42*$AD$11),2))</f>
        <v>0</v>
      </c>
      <c r="AF42" s="12"/>
      <c r="AG42" s="12"/>
      <c r="AH42" s="12"/>
      <c r="AI42" s="12"/>
      <c r="AJ42" s="12"/>
      <c r="AK42" s="46">
        <f>IF(OR($G$4="MEDIA",$G$4="BASICA - TERCER CICLO"),ROUND(((AF42*$AF$11)+(AG42*$AG$11)+(AH42*$AH$11)+(AI42*$AI$11)+(AJ42*$AJ$11)*100)/35%,2),ROUND((AF42*$AF$11)+(AG42*$AG$11)+(AH42*$AH$11)+(AI42*$AI$11)+(AJ42*$AJ$11),2))</f>
        <v>0</v>
      </c>
      <c r="AL42" s="12"/>
      <c r="AM42" s="12"/>
      <c r="AN42" s="12"/>
      <c r="AO42" s="46">
        <f>IF(OR($G$4="MEDIA",$G$4="BASICA - TERCER CICLO"),ROUND(((AL42*$AL$11)+(AM42*$AM$11)+(AN42*$AN$11)*100)/30%,2),ROUND(((AL42*$AL$11)+(AM42*$AM$11)+(AN42*$AN$11)*100)/30%,2))</f>
        <v>0</v>
      </c>
      <c r="AP42" s="12"/>
      <c r="AQ42" s="14">
        <f>IF(OR($G$4="MEDIA",$G$4="BASICA - TERCER CICLO"),ROUND((AP42*$AP$11),2),ROUND((AP42*$AP$11),0))</f>
        <v>0</v>
      </c>
      <c r="AR42" s="47">
        <f>ROUND((AE42+AK42+AO42)/3,1)</f>
        <v>0</v>
      </c>
      <c r="AS42" s="12"/>
      <c r="AT42" s="12"/>
      <c r="AU42" s="12"/>
      <c r="AV42" s="12"/>
      <c r="AW42" s="12"/>
      <c r="AX42" s="46">
        <f>IF(OR($G$4="MEDIA",$G$4="BASICA - TERCER CICLO"),ROUND(((AS42*$AS$11)+(AT42*$AT$11)+(AU42*$AU$11)+(AV42*$AV$11)+(AW42*$AW$11)*100)/35%,2),ROUND((AS42*$AS$11)+(AT42*$AT$11)+(AU42*$AU$11)+(AV42*$AV$11)+(AW42*$AW$11),2))</f>
        <v>0</v>
      </c>
      <c r="AY42" s="12"/>
      <c r="AZ42" s="12"/>
      <c r="BA42" s="12"/>
      <c r="BB42" s="12"/>
      <c r="BC42" s="12"/>
      <c r="BD42" s="46">
        <f>IF(OR($G$4="MEDIA",$G$4="BASICA - TERCER CICLO"),ROUND(((AY42*$AY$11)+(AZ42*$AZ$11)+(BA42*$BA$11)+(BB42*$BB$11)+(BC42*$BC$11)*100)/35%,2),ROUND((AY42*$AY$11)+(AZ42*$AZ$11)+(BA42*$BA$11)+(BB42*$BB$11)+(BC42*$BC$11),2))</f>
        <v>0</v>
      </c>
      <c r="BE42" s="12"/>
      <c r="BF42" s="12"/>
      <c r="BG42" s="12"/>
      <c r="BH42" s="46">
        <f>IF(OR($G$4="MEDIA",$G$4="BASICA - TERCER CICLO"),ROUND(((BE42*$BE$11)+(BF42*$BF$11)+(BG42*$BG$11)*100)/30%,2),ROUND(((BE42*$BE$11)+(BF42*$BF$11)+(BG42*$BG$11)*100)/30%,2))</f>
        <v>0</v>
      </c>
      <c r="BI42" s="12"/>
      <c r="BJ42" s="14">
        <f>IF(OR($G$4="MEDIA",$G$4="BASICA - TERCER CICLO"),ROUND((BI42*$BI$11),2),ROUND((BI42*$BI$11),0))</f>
        <v>0</v>
      </c>
      <c r="BK42" s="47">
        <f>ROUND((AX42+BD42+BH42)/3,1)</f>
        <v>0</v>
      </c>
      <c r="BL42" s="12"/>
      <c r="BM42" s="12"/>
      <c r="BN42" s="12"/>
      <c r="BO42" s="12"/>
      <c r="BP42" s="12"/>
      <c r="BQ42" s="13">
        <f>IF(OR($G$4="MEDIA",$G$4="BASICA - TERCER CICLO"),ROUND(((BL42*$BL$11)+(BM42*$BM$11)+(BN42*$BN$11)+(BO42*$BO$11)+(BP42*$BP$11)*100)/35%,2),ROUND(((BL42*$BL$11)+(BM42*$BM$11)+(BN42*$BN$11)+(BO42*$BO$11)+(BP42*$BP$11)*100)/35%,2))</f>
        <v>0</v>
      </c>
      <c r="BR42" s="12"/>
      <c r="BS42" s="12"/>
      <c r="BT42" s="12"/>
      <c r="BU42" s="12"/>
      <c r="BV42" s="12"/>
      <c r="BW42" s="13">
        <f>IF(OR($G$4="MEDIA",$G$4="BASICA - TERCER CICLO"),ROUND(((BR42*$BR$11)+(BS42*$BS$11)+(BT42*$BT$11)+(BU42*$BU$11)+(BV42*$BV$11)*100)/35%,2),ROUND(((BR42*$BR$11)+(BS42*$BS$11)+(BT42*$BT$11)+(BU42*$BU$11)+(BV42*$BP$11)*100)/35%,2))</f>
        <v>0</v>
      </c>
      <c r="BX42" s="12"/>
      <c r="BY42" s="12"/>
      <c r="BZ42" s="12"/>
      <c r="CA42" s="13">
        <f>IF(OR($G$4="MEDIA",$G$4="BASICA - TERCER CICLO"),ROUND(((BX42*$BX$11)+(BY42*$BY$11)+(BZ42*$BZ$11)*100)/30%,2),ROUND(((BX42*$BX$11)+(BY42*$BY$11)+(BZ42*$BZ$11)*100)/30%,2))</f>
        <v>0</v>
      </c>
      <c r="CB42" s="12"/>
      <c r="CC42" s="14">
        <f>IF(OR($G$4="MEDIA",$G$4="BASICA - TERCER CICLO"),ROUND((CB42*$BI$11),2),ROUND((CB42*$BI$11),0))</f>
        <v>0</v>
      </c>
      <c r="CD42" s="28">
        <f>IF(OR($G$4="MEDIA",$G$4="BASICA - TERCER CICLO"),ROUND((BQ42+BW42+CA42+CC42),1),IF($G$4="BASICA",ROUND((BQ42+BW42+CA42+CC42),0),ROUND((BQ42+BW42+CA42+CC42),1)))</f>
        <v>0</v>
      </c>
      <c r="CE42" s="28">
        <f>IF($G$4 = "MEDIA",ROUND(((Y42+AR42+BK42+CD42)/4),0),ROUND(((Y42+AR42+BK42)/3),0))</f>
        <v>0</v>
      </c>
      <c r="CF42" s="21"/>
      <c r="CG42" s="28">
        <f>IF(AND(CE42&lt;5,$G$4="BASICA"),ROUND((CE42+CF42)/2,0),IF(AND(CE42&lt;6,$G$4="MEDIA"),ROUND((CE42+CF42)/2,0),CE42))</f>
        <v>0</v>
      </c>
      <c r="CH42" s="16" t="str">
        <f>IF($G$4="MEDIA",IF(CG42&gt;=6,"Aprobado","Reprobado"),IF(CG42&gt;=5,"Aprobado","Reprobado"))</f>
        <v>Reprobado</v>
      </c>
    </row>
    <row r="43" spans="1:86" customHeight="1" ht="20.25">
      <c r="A43" s="39">
        <v>31</v>
      </c>
      <c r="B43" s="2">
        <v>10293673</v>
      </c>
      <c r="C43" s="2">
        <v>4492</v>
      </c>
      <c r="D43" s="2">
        <v>26979</v>
      </c>
      <c r="E43" s="2" t="s">
        <v>68</v>
      </c>
      <c r="F43" s="40" t="s">
        <v>39</v>
      </c>
      <c r="G43" s="31"/>
      <c r="H43" s="7"/>
      <c r="I43" s="7"/>
      <c r="J43" s="7"/>
      <c r="K43" s="7"/>
      <c r="L43" s="46">
        <f>IF(OR($G$4="MEDIA",$G$4="BASICA - TERCER CICLO"),ROUND(((G43*$G$11)+(H43*$H$11)+(I43*$I$11)+(J43*$J$11)+(K43*$K$11)*100)/35%,2),ROUND((G43*$G$11)+(H43*$H$11)+(I43*$I$11)+(J43*$J$11)+(K43*$K$11),2))</f>
        <v>0</v>
      </c>
      <c r="M43" s="7"/>
      <c r="N43" s="7"/>
      <c r="O43" s="7"/>
      <c r="P43" s="7"/>
      <c r="Q43" s="7"/>
      <c r="R43" s="46">
        <f>IF(OR($G$4="MEDIA",$G$4="BASICA - TERCER CICLO"),ROUND(((M43*$M$11)+(N43*$N$11)+(O43*$O$11)+(P43*$P$11)+(Q43*$Q$11)*100)/35%,2),ROUND((M43*$M$11)+(N43*$N$11)+(O43*$O$11)+(P43*$P$11)+(Q43*$Q$11),2))</f>
        <v>0</v>
      </c>
      <c r="S43" s="7"/>
      <c r="T43" s="7"/>
      <c r="U43" s="7"/>
      <c r="V43" s="13">
        <f>IF(OR($G$4="MEDIA",$G$4="BASICA - TERCER CICLO"),ROUND(((S43*$S$11)+(T43*$T$11)+(U43*$U$11)*100)/30%,2),ROUND(((S43*$S$11)+(T43*$T$11)+(U43*$U$11)*100)/30%,2))</f>
        <v>0</v>
      </c>
      <c r="W43" s="7"/>
      <c r="X43" s="14">
        <f>IF(OR($G$4="MEDIA",$G$4="BASICA - TERCER CICLO"),ROUND((W43*$W$11),2),ROUND((W43*$W$11),0))</f>
        <v>0</v>
      </c>
      <c r="Y43" s="47">
        <f>ROUND((L43+R43+V43)/3,1)</f>
        <v>0</v>
      </c>
      <c r="Z43" s="7"/>
      <c r="AA43" s="7"/>
      <c r="AB43" s="7"/>
      <c r="AC43" s="7"/>
      <c r="AD43" s="7"/>
      <c r="AE43" s="46">
        <f>IF(OR($G$4="MEDIA",$G$4="BASICA - TERCER CICLO"),ROUND(((Z43*$Z$11)+(AA43*$AA$11)+(AB43*$AB$11)+(AC43*$AC$11)+(AD43*$AD$11)*100)/35%,2),ROUND((Z43*$Z$11)+(AA43*$AA$11)+(AB43*$AB$11)+(AC43*$AC$11)+(AD43*$AD$11),2))</f>
        <v>0</v>
      </c>
      <c r="AF43" s="7"/>
      <c r="AG43" s="7"/>
      <c r="AH43" s="7"/>
      <c r="AI43" s="7"/>
      <c r="AJ43" s="7"/>
      <c r="AK43" s="46">
        <f>IF(OR($G$4="MEDIA",$G$4="BASICA - TERCER CICLO"),ROUND(((AF43*$AF$11)+(AG43*$AG$11)+(AH43*$AH$11)+(AI43*$AI$11)+(AJ43*$AJ$11)*100)/35%,2),ROUND((AF43*$AF$11)+(AG43*$AG$11)+(AH43*$AH$11)+(AI43*$AI$11)+(AJ43*$AJ$11),2))</f>
        <v>0</v>
      </c>
      <c r="AL43" s="7"/>
      <c r="AM43" s="7"/>
      <c r="AN43" s="7"/>
      <c r="AO43" s="46">
        <f>IF(OR($G$4="MEDIA",$G$4="BASICA - TERCER CICLO"),ROUND(((AL43*$AL$11)+(AM43*$AM$11)+(AN43*$AN$11)*100)/30%,2),ROUND(((AL43*$AL$11)+(AM43*$AM$11)+(AN43*$AN$11)*100)/30%,2))</f>
        <v>0</v>
      </c>
      <c r="AP43" s="7"/>
      <c r="AQ43" s="14">
        <f>IF(OR($G$4="MEDIA",$G$4="BASICA - TERCER CICLO"),ROUND((AP43*$AP$11),2),ROUND((AP43*$AP$11),0))</f>
        <v>0</v>
      </c>
      <c r="AR43" s="47">
        <f>ROUND((AE43+AK43+AO43)/3,1)</f>
        <v>0</v>
      </c>
      <c r="AS43" s="7"/>
      <c r="AT43" s="7"/>
      <c r="AU43" s="7"/>
      <c r="AV43" s="7"/>
      <c r="AW43" s="7"/>
      <c r="AX43" s="46">
        <f>IF(OR($G$4="MEDIA",$G$4="BASICA - TERCER CICLO"),ROUND(((AS43*$AS$11)+(AT43*$AT$11)+(AU43*$AU$11)+(AV43*$AV$11)+(AW43*$AW$11)*100)/35%,2),ROUND((AS43*$AS$11)+(AT43*$AT$11)+(AU43*$AU$11)+(AV43*$AV$11)+(AW43*$AW$11),2))</f>
        <v>0</v>
      </c>
      <c r="AY43" s="7"/>
      <c r="AZ43" s="7"/>
      <c r="BA43" s="7"/>
      <c r="BB43" s="7"/>
      <c r="BC43" s="7"/>
      <c r="BD43" s="46">
        <f>IF(OR($G$4="MEDIA",$G$4="BASICA - TERCER CICLO"),ROUND(((AY43*$AY$11)+(AZ43*$AZ$11)+(BA43*$BA$11)+(BB43*$BB$11)+(BC43*$BC$11)*100)/35%,2),ROUND((AY43*$AY$11)+(AZ43*$AZ$11)+(BA43*$BA$11)+(BB43*$BB$11)+(BC43*$BC$11),2))</f>
        <v>0</v>
      </c>
      <c r="BE43" s="7"/>
      <c r="BF43" s="7"/>
      <c r="BG43" s="7"/>
      <c r="BH43" s="46">
        <f>IF(OR($G$4="MEDIA",$G$4="BASICA - TERCER CICLO"),ROUND(((BE43*$BE$11)+(BF43*$BF$11)+(BG43*$BG$11)*100)/30%,2),ROUND(((BE43*$BE$11)+(BF43*$BF$11)+(BG43*$BG$11)*100)/30%,2))</f>
        <v>0</v>
      </c>
      <c r="BI43" s="7"/>
      <c r="BJ43" s="14">
        <f>IF(OR($G$4="MEDIA",$G$4="BASICA - TERCER CICLO"),ROUND((BI43*$BI$11),2),ROUND((BI43*$BI$11),0))</f>
        <v>0</v>
      </c>
      <c r="BK43" s="47">
        <f>ROUND((AX43+BD43+BH43)/3,1)</f>
        <v>0</v>
      </c>
      <c r="BL43" s="7"/>
      <c r="BM43" s="7"/>
      <c r="BN43" s="7"/>
      <c r="BO43" s="7"/>
      <c r="BP43" s="7"/>
      <c r="BQ43" s="13">
        <f>IF(OR($G$4="MEDIA",$G$4="BASICA - TERCER CICLO"),ROUND(((BL43*$BL$11)+(BM43*$BM$11)+(BN43*$BN$11)+(BO43*$BO$11)+(BP43*$BP$11)*100)/35%,2),ROUND(((BL43*$BL$11)+(BM43*$BM$11)+(BN43*$BN$11)+(BO43*$BO$11)+(BP43*$BP$11)*100)/35%,2))</f>
        <v>0</v>
      </c>
      <c r="BR43" s="7"/>
      <c r="BS43" s="7"/>
      <c r="BT43" s="7"/>
      <c r="BU43" s="7"/>
      <c r="BV43" s="7"/>
      <c r="BW43" s="13">
        <f>IF(OR($G$4="MEDIA",$G$4="BASICA - TERCER CICLO"),ROUND(((BR43*$BR$11)+(BS43*$BS$11)+(BT43*$BT$11)+(BU43*$BU$11)+(BV43*$BV$11)*100)/35%,2),ROUND(((BR43*$BR$11)+(BS43*$BS$11)+(BT43*$BT$11)+(BU43*$BU$11)+(BV43*$BP$11)*100)/35%,2))</f>
        <v>0</v>
      </c>
      <c r="BX43" s="7"/>
      <c r="BY43" s="7"/>
      <c r="BZ43" s="7"/>
      <c r="CA43" s="13">
        <f>IF(OR($G$4="MEDIA",$G$4="BASICA - TERCER CICLO"),ROUND(((BX43*$BX$11)+(BY43*$BY$11)+(BZ43*$BZ$11)*100)/30%,2),ROUND(((BX43*$BX$11)+(BY43*$BY$11)+(BZ43*$BZ$11)*100)/30%,2))</f>
        <v>0</v>
      </c>
      <c r="CB43" s="7"/>
      <c r="CC43" s="14">
        <f>IF(OR($G$4="MEDIA",$G$4="BASICA - TERCER CICLO"),ROUND((CB43*$BI$11),2),ROUND((CB43*$BI$11),0))</f>
        <v>0</v>
      </c>
      <c r="CD43" s="28">
        <f>IF(OR($G$4="MEDIA",$G$4="BASICA - TERCER CICLO"),ROUND((BQ43+BW43+CA43+CC43),1),IF($G$4="BASICA",ROUND((BQ43+BW43+CA43+CC43),0),ROUND((BQ43+BW43+CA43+CC43),1)))</f>
        <v>0</v>
      </c>
      <c r="CE43" s="28">
        <f>IF($G$4 = "MEDIA",ROUND(((Y43+AR43+BK43+CD43)/4),0),ROUND(((Y43+AR43+BK43)/3),0))</f>
        <v>0</v>
      </c>
      <c r="CF43" s="20"/>
      <c r="CG43" s="28">
        <f>IF(AND(CE43&lt;5,$G$4="BASICA"),ROUND((CE43+CF43)/2,0),IF(AND(CE43&lt;6,$G$4="MEDIA"),ROUND((CE43+CF43)/2,0),CE43))</f>
        <v>0</v>
      </c>
      <c r="CH43" s="17" t="str">
        <f>IF($G$4="MEDIA",IF(CG43&gt;=6,"Aprobado","Reprobado"),IF(CG43&gt;=5,"Aprobado","Reprobado"))</f>
        <v>Reprobado</v>
      </c>
    </row>
    <row r="44" spans="1:86" customHeight="1" ht="20.25">
      <c r="A44" s="41">
        <v>32</v>
      </c>
      <c r="B44" s="3">
        <v>10293682</v>
      </c>
      <c r="C44" s="3">
        <v>4491</v>
      </c>
      <c r="D44" s="3">
        <v>26996</v>
      </c>
      <c r="E44" s="3" t="s">
        <v>69</v>
      </c>
      <c r="F44" s="42" t="s">
        <v>39</v>
      </c>
      <c r="G44" s="32"/>
      <c r="H44" s="12"/>
      <c r="I44" s="12"/>
      <c r="J44" s="12"/>
      <c r="K44" s="12"/>
      <c r="L44" s="46">
        <f>IF(OR($G$4="MEDIA",$G$4="BASICA - TERCER CICLO"),ROUND(((G44*$G$11)+(H44*$H$11)+(I44*$I$11)+(J44*$J$11)+(K44*$K$11)*100)/35%,2),ROUND((G44*$G$11)+(H44*$H$11)+(I44*$I$11)+(J44*$J$11)+(K44*$K$11),2))</f>
        <v>0</v>
      </c>
      <c r="M44" s="12"/>
      <c r="N44" s="12"/>
      <c r="O44" s="12"/>
      <c r="P44" s="12"/>
      <c r="Q44" s="12"/>
      <c r="R44" s="46">
        <f>IF(OR($G$4="MEDIA",$G$4="BASICA - TERCER CICLO"),ROUND(((M44*$M$11)+(N44*$N$11)+(O44*$O$11)+(P44*$P$11)+(Q44*$Q$11)*100)/35%,2),ROUND((M44*$M$11)+(N44*$N$11)+(O44*$O$11)+(P44*$P$11)+(Q44*$Q$11),2))</f>
        <v>0</v>
      </c>
      <c r="S44" s="12"/>
      <c r="T44" s="12"/>
      <c r="U44" s="12"/>
      <c r="V44" s="13">
        <f>IF(OR($G$4="MEDIA",$G$4="BASICA - TERCER CICLO"),ROUND(((S44*$S$11)+(T44*$T$11)+(U44*$U$11)*100)/30%,2),ROUND(((S44*$S$11)+(T44*$T$11)+(U44*$U$11)*100)/30%,2))</f>
        <v>0</v>
      </c>
      <c r="W44" s="12"/>
      <c r="X44" s="14">
        <f>IF(OR($G$4="MEDIA",$G$4="BASICA - TERCER CICLO"),ROUND((W44*$W$11),2),ROUND((W44*$W$11),0))</f>
        <v>0</v>
      </c>
      <c r="Y44" s="47">
        <f>ROUND((L44+R44+V44)/3,1)</f>
        <v>0</v>
      </c>
      <c r="Z44" s="12"/>
      <c r="AA44" s="12"/>
      <c r="AB44" s="12"/>
      <c r="AC44" s="12"/>
      <c r="AD44" s="12"/>
      <c r="AE44" s="46">
        <f>IF(OR($G$4="MEDIA",$G$4="BASICA - TERCER CICLO"),ROUND(((Z44*$Z$11)+(AA44*$AA$11)+(AB44*$AB$11)+(AC44*$AC$11)+(AD44*$AD$11)*100)/35%,2),ROUND((Z44*$Z$11)+(AA44*$AA$11)+(AB44*$AB$11)+(AC44*$AC$11)+(AD44*$AD$11),2))</f>
        <v>0</v>
      </c>
      <c r="AF44" s="12"/>
      <c r="AG44" s="12"/>
      <c r="AH44" s="12"/>
      <c r="AI44" s="12"/>
      <c r="AJ44" s="12"/>
      <c r="AK44" s="46">
        <f>IF(OR($G$4="MEDIA",$G$4="BASICA - TERCER CICLO"),ROUND(((AF44*$AF$11)+(AG44*$AG$11)+(AH44*$AH$11)+(AI44*$AI$11)+(AJ44*$AJ$11)*100)/35%,2),ROUND((AF44*$AF$11)+(AG44*$AG$11)+(AH44*$AH$11)+(AI44*$AI$11)+(AJ44*$AJ$11),2))</f>
        <v>0</v>
      </c>
      <c r="AL44" s="12"/>
      <c r="AM44" s="12"/>
      <c r="AN44" s="12"/>
      <c r="AO44" s="46">
        <f>IF(OR($G$4="MEDIA",$G$4="BASICA - TERCER CICLO"),ROUND(((AL44*$AL$11)+(AM44*$AM$11)+(AN44*$AN$11)*100)/30%,2),ROUND(((AL44*$AL$11)+(AM44*$AM$11)+(AN44*$AN$11)*100)/30%,2))</f>
        <v>0</v>
      </c>
      <c r="AP44" s="12"/>
      <c r="AQ44" s="14">
        <f>IF(OR($G$4="MEDIA",$G$4="BASICA - TERCER CICLO"),ROUND((AP44*$AP$11),2),ROUND((AP44*$AP$11),0))</f>
        <v>0</v>
      </c>
      <c r="AR44" s="47">
        <f>ROUND((AE44+AK44+AO44)/3,1)</f>
        <v>0</v>
      </c>
      <c r="AS44" s="12"/>
      <c r="AT44" s="12"/>
      <c r="AU44" s="12"/>
      <c r="AV44" s="12"/>
      <c r="AW44" s="12"/>
      <c r="AX44" s="46">
        <f>IF(OR($G$4="MEDIA",$G$4="BASICA - TERCER CICLO"),ROUND(((AS44*$AS$11)+(AT44*$AT$11)+(AU44*$AU$11)+(AV44*$AV$11)+(AW44*$AW$11)*100)/35%,2),ROUND((AS44*$AS$11)+(AT44*$AT$11)+(AU44*$AU$11)+(AV44*$AV$11)+(AW44*$AW$11),2))</f>
        <v>0</v>
      </c>
      <c r="AY44" s="12"/>
      <c r="AZ44" s="12"/>
      <c r="BA44" s="12"/>
      <c r="BB44" s="12"/>
      <c r="BC44" s="12"/>
      <c r="BD44" s="46">
        <f>IF(OR($G$4="MEDIA",$G$4="BASICA - TERCER CICLO"),ROUND(((AY44*$AY$11)+(AZ44*$AZ$11)+(BA44*$BA$11)+(BB44*$BB$11)+(BC44*$BC$11)*100)/35%,2),ROUND((AY44*$AY$11)+(AZ44*$AZ$11)+(BA44*$BA$11)+(BB44*$BB$11)+(BC44*$BC$11),2))</f>
        <v>0</v>
      </c>
      <c r="BE44" s="12"/>
      <c r="BF44" s="12"/>
      <c r="BG44" s="12"/>
      <c r="BH44" s="46">
        <f>IF(OR($G$4="MEDIA",$G$4="BASICA - TERCER CICLO"),ROUND(((BE44*$BE$11)+(BF44*$BF$11)+(BG44*$BG$11)*100)/30%,2),ROUND(((BE44*$BE$11)+(BF44*$BF$11)+(BG44*$BG$11)*100)/30%,2))</f>
        <v>0</v>
      </c>
      <c r="BI44" s="12"/>
      <c r="BJ44" s="14">
        <f>IF(OR($G$4="MEDIA",$G$4="BASICA - TERCER CICLO"),ROUND((BI44*$BI$11),2),ROUND((BI44*$BI$11),0))</f>
        <v>0</v>
      </c>
      <c r="BK44" s="47">
        <f>ROUND((AX44+BD44+BH44)/3,1)</f>
        <v>0</v>
      </c>
      <c r="BL44" s="12"/>
      <c r="BM44" s="12"/>
      <c r="BN44" s="12"/>
      <c r="BO44" s="12"/>
      <c r="BP44" s="12"/>
      <c r="BQ44" s="13">
        <f>IF(OR($G$4="MEDIA",$G$4="BASICA - TERCER CICLO"),ROUND(((BL44*$BL$11)+(BM44*$BM$11)+(BN44*$BN$11)+(BO44*$BO$11)+(BP44*$BP$11)*100)/35%,2),ROUND(((BL44*$BL$11)+(BM44*$BM$11)+(BN44*$BN$11)+(BO44*$BO$11)+(BP44*$BP$11)*100)/35%,2))</f>
        <v>0</v>
      </c>
      <c r="BR44" s="12"/>
      <c r="BS44" s="12"/>
      <c r="BT44" s="12"/>
      <c r="BU44" s="12"/>
      <c r="BV44" s="12"/>
      <c r="BW44" s="13">
        <f>IF(OR($G$4="MEDIA",$G$4="BASICA - TERCER CICLO"),ROUND(((BR44*$BR$11)+(BS44*$BS$11)+(BT44*$BT$11)+(BU44*$BU$11)+(BV44*$BV$11)*100)/35%,2),ROUND(((BR44*$BR$11)+(BS44*$BS$11)+(BT44*$BT$11)+(BU44*$BU$11)+(BV44*$BP$11)*100)/35%,2))</f>
        <v>0</v>
      </c>
      <c r="BX44" s="12"/>
      <c r="BY44" s="12"/>
      <c r="BZ44" s="12"/>
      <c r="CA44" s="13">
        <f>IF(OR($G$4="MEDIA",$G$4="BASICA - TERCER CICLO"),ROUND(((BX44*$BX$11)+(BY44*$BY$11)+(BZ44*$BZ$11)*100)/30%,2),ROUND(((BX44*$BX$11)+(BY44*$BY$11)+(BZ44*$BZ$11)*100)/30%,2))</f>
        <v>0</v>
      </c>
      <c r="CB44" s="12"/>
      <c r="CC44" s="14">
        <f>IF(OR($G$4="MEDIA",$G$4="BASICA - TERCER CICLO"),ROUND((CB44*$BI$11),2),ROUND((CB44*$BI$11),0))</f>
        <v>0</v>
      </c>
      <c r="CD44" s="28">
        <f>IF(OR($G$4="MEDIA",$G$4="BASICA - TERCER CICLO"),ROUND((BQ44+BW44+CA44+CC44),1),IF($G$4="BASICA",ROUND((BQ44+BW44+CA44+CC44),0),ROUND((BQ44+BW44+CA44+CC44),1)))</f>
        <v>0</v>
      </c>
      <c r="CE44" s="28">
        <f>IF($G$4 = "MEDIA",ROUND(((Y44+AR44+BK44+CD44)/4),0),ROUND(((Y44+AR44+BK44)/3),0))</f>
        <v>0</v>
      </c>
      <c r="CF44" s="21"/>
      <c r="CG44" s="28">
        <f>IF(AND(CE44&lt;5,$G$4="BASICA"),ROUND((CE44+CF44)/2,0),IF(AND(CE44&lt;6,$G$4="MEDIA"),ROUND((CE44+CF44)/2,0),CE44))</f>
        <v>0</v>
      </c>
      <c r="CH44" s="16" t="str">
        <f>IF($G$4="MEDIA",IF(CG44&gt;=6,"Aprobado","Reprobado"),IF(CG44&gt;=5,"Aprobado","Reprobado"))</f>
        <v>Reprobado</v>
      </c>
    </row>
    <row r="45" spans="1:86" customHeight="1" ht="20.25">
      <c r="A45" s="39">
        <v>33</v>
      </c>
      <c r="B45" s="2">
        <v>10282539</v>
      </c>
      <c r="C45" s="2">
        <v>4396</v>
      </c>
      <c r="D45" s="2">
        <v>26980</v>
      </c>
      <c r="E45" s="2" t="s">
        <v>70</v>
      </c>
      <c r="F45" s="40" t="s">
        <v>39</v>
      </c>
      <c r="G45" s="31"/>
      <c r="H45" s="7"/>
      <c r="I45" s="7"/>
      <c r="J45" s="7"/>
      <c r="K45" s="7"/>
      <c r="L45" s="46">
        <f>IF(OR($G$4="MEDIA",$G$4="BASICA - TERCER CICLO"),ROUND(((G45*$G$11)+(H45*$H$11)+(I45*$I$11)+(J45*$J$11)+(K45*$K$11)*100)/35%,2),ROUND((G45*$G$11)+(H45*$H$11)+(I45*$I$11)+(J45*$J$11)+(K45*$K$11),2))</f>
        <v>0</v>
      </c>
      <c r="M45" s="7"/>
      <c r="N45" s="7"/>
      <c r="O45" s="7"/>
      <c r="P45" s="7"/>
      <c r="Q45" s="7"/>
      <c r="R45" s="46">
        <f>IF(OR($G$4="MEDIA",$G$4="BASICA - TERCER CICLO"),ROUND(((M45*$M$11)+(N45*$N$11)+(O45*$O$11)+(P45*$P$11)+(Q45*$Q$11)*100)/35%,2),ROUND((M45*$M$11)+(N45*$N$11)+(O45*$O$11)+(P45*$P$11)+(Q45*$Q$11),2))</f>
        <v>0</v>
      </c>
      <c r="S45" s="7"/>
      <c r="T45" s="7"/>
      <c r="U45" s="7"/>
      <c r="V45" s="13">
        <f>IF(OR($G$4="MEDIA",$G$4="BASICA - TERCER CICLO"),ROUND(((S45*$S$11)+(T45*$T$11)+(U45*$U$11)*100)/30%,2),ROUND(((S45*$S$11)+(T45*$T$11)+(U45*$U$11)*100)/30%,2))</f>
        <v>0</v>
      </c>
      <c r="W45" s="7"/>
      <c r="X45" s="14">
        <f>IF(OR($G$4="MEDIA",$G$4="BASICA - TERCER CICLO"),ROUND((W45*$W$11),2),ROUND((W45*$W$11),0))</f>
        <v>0</v>
      </c>
      <c r="Y45" s="47">
        <f>ROUND((L45+R45+V45)/3,1)</f>
        <v>0</v>
      </c>
      <c r="Z45" s="7"/>
      <c r="AA45" s="7"/>
      <c r="AB45" s="7"/>
      <c r="AC45" s="7"/>
      <c r="AD45" s="7"/>
      <c r="AE45" s="46">
        <f>IF(OR($G$4="MEDIA",$G$4="BASICA - TERCER CICLO"),ROUND(((Z45*$Z$11)+(AA45*$AA$11)+(AB45*$AB$11)+(AC45*$AC$11)+(AD45*$AD$11)*100)/35%,2),ROUND((Z45*$Z$11)+(AA45*$AA$11)+(AB45*$AB$11)+(AC45*$AC$11)+(AD45*$AD$11),2))</f>
        <v>0</v>
      </c>
      <c r="AF45" s="7"/>
      <c r="AG45" s="7"/>
      <c r="AH45" s="7"/>
      <c r="AI45" s="7"/>
      <c r="AJ45" s="7"/>
      <c r="AK45" s="46">
        <f>IF(OR($G$4="MEDIA",$G$4="BASICA - TERCER CICLO"),ROUND(((AF45*$AF$11)+(AG45*$AG$11)+(AH45*$AH$11)+(AI45*$AI$11)+(AJ45*$AJ$11)*100)/35%,2),ROUND((AF45*$AF$11)+(AG45*$AG$11)+(AH45*$AH$11)+(AI45*$AI$11)+(AJ45*$AJ$11),2))</f>
        <v>0</v>
      </c>
      <c r="AL45" s="7"/>
      <c r="AM45" s="7"/>
      <c r="AN45" s="7"/>
      <c r="AO45" s="46">
        <f>IF(OR($G$4="MEDIA",$G$4="BASICA - TERCER CICLO"),ROUND(((AL45*$AL$11)+(AM45*$AM$11)+(AN45*$AN$11)*100)/30%,2),ROUND(((AL45*$AL$11)+(AM45*$AM$11)+(AN45*$AN$11)*100)/30%,2))</f>
        <v>0</v>
      </c>
      <c r="AP45" s="7"/>
      <c r="AQ45" s="14">
        <f>IF(OR($G$4="MEDIA",$G$4="BASICA - TERCER CICLO"),ROUND((AP45*$AP$11),2),ROUND((AP45*$AP$11),0))</f>
        <v>0</v>
      </c>
      <c r="AR45" s="47">
        <f>ROUND((AE45+AK45+AO45)/3,1)</f>
        <v>0</v>
      </c>
      <c r="AS45" s="7"/>
      <c r="AT45" s="7"/>
      <c r="AU45" s="7"/>
      <c r="AV45" s="7"/>
      <c r="AW45" s="7"/>
      <c r="AX45" s="46">
        <f>IF(OR($G$4="MEDIA",$G$4="BASICA - TERCER CICLO"),ROUND(((AS45*$AS$11)+(AT45*$AT$11)+(AU45*$AU$11)+(AV45*$AV$11)+(AW45*$AW$11)*100)/35%,2),ROUND((AS45*$AS$11)+(AT45*$AT$11)+(AU45*$AU$11)+(AV45*$AV$11)+(AW45*$AW$11),2))</f>
        <v>0</v>
      </c>
      <c r="AY45" s="7"/>
      <c r="AZ45" s="7"/>
      <c r="BA45" s="7"/>
      <c r="BB45" s="7"/>
      <c r="BC45" s="7"/>
      <c r="BD45" s="46">
        <f>IF(OR($G$4="MEDIA",$G$4="BASICA - TERCER CICLO"),ROUND(((AY45*$AY$11)+(AZ45*$AZ$11)+(BA45*$BA$11)+(BB45*$BB$11)+(BC45*$BC$11)*100)/35%,2),ROUND((AY45*$AY$11)+(AZ45*$AZ$11)+(BA45*$BA$11)+(BB45*$BB$11)+(BC45*$BC$11),2))</f>
        <v>0</v>
      </c>
      <c r="BE45" s="7"/>
      <c r="BF45" s="7"/>
      <c r="BG45" s="7"/>
      <c r="BH45" s="46">
        <f>IF(OR($G$4="MEDIA",$G$4="BASICA - TERCER CICLO"),ROUND(((BE45*$BE$11)+(BF45*$BF$11)+(BG45*$BG$11)*100)/30%,2),ROUND(((BE45*$BE$11)+(BF45*$BF$11)+(BG45*$BG$11)*100)/30%,2))</f>
        <v>0</v>
      </c>
      <c r="BI45" s="7"/>
      <c r="BJ45" s="14">
        <f>IF(OR($G$4="MEDIA",$G$4="BASICA - TERCER CICLO"),ROUND((BI45*$BI$11),2),ROUND((BI45*$BI$11),0))</f>
        <v>0</v>
      </c>
      <c r="BK45" s="47">
        <f>ROUND((AX45+BD45+BH45)/3,1)</f>
        <v>0</v>
      </c>
      <c r="BL45" s="7"/>
      <c r="BM45" s="7"/>
      <c r="BN45" s="7"/>
      <c r="BO45" s="7"/>
      <c r="BP45" s="7"/>
      <c r="BQ45" s="13">
        <f>IF(OR($G$4="MEDIA",$G$4="BASICA - TERCER CICLO"),ROUND(((BL45*$BL$11)+(BM45*$BM$11)+(BN45*$BN$11)+(BO45*$BO$11)+(BP45*$BP$11)*100)/35%,2),ROUND(((BL45*$BL$11)+(BM45*$BM$11)+(BN45*$BN$11)+(BO45*$BO$11)+(BP45*$BP$11)*100)/35%,2))</f>
        <v>0</v>
      </c>
      <c r="BR45" s="7"/>
      <c r="BS45" s="7"/>
      <c r="BT45" s="7"/>
      <c r="BU45" s="7"/>
      <c r="BV45" s="7"/>
      <c r="BW45" s="13">
        <f>IF(OR($G$4="MEDIA",$G$4="BASICA - TERCER CICLO"),ROUND(((BR45*$BR$11)+(BS45*$BS$11)+(BT45*$BT$11)+(BU45*$BU$11)+(BV45*$BV$11)*100)/35%,2),ROUND(((BR45*$BR$11)+(BS45*$BS$11)+(BT45*$BT$11)+(BU45*$BU$11)+(BV45*$BP$11)*100)/35%,2))</f>
        <v>0</v>
      </c>
      <c r="BX45" s="7"/>
      <c r="BY45" s="7"/>
      <c r="BZ45" s="7"/>
      <c r="CA45" s="13">
        <f>IF(OR($G$4="MEDIA",$G$4="BASICA - TERCER CICLO"),ROUND(((BX45*$BX$11)+(BY45*$BY$11)+(BZ45*$BZ$11)*100)/30%,2),ROUND(((BX45*$BX$11)+(BY45*$BY$11)+(BZ45*$BZ$11)*100)/30%,2))</f>
        <v>0</v>
      </c>
      <c r="CB45" s="7"/>
      <c r="CC45" s="14">
        <f>IF(OR($G$4="MEDIA",$G$4="BASICA - TERCER CICLO"),ROUND((CB45*$BI$11),2),ROUND((CB45*$BI$11),0))</f>
        <v>0</v>
      </c>
      <c r="CD45" s="28">
        <f>IF(OR($G$4="MEDIA",$G$4="BASICA - TERCER CICLO"),ROUND((BQ45+BW45+CA45+CC45),1),IF($G$4="BASICA",ROUND((BQ45+BW45+CA45+CC45),0),ROUND((BQ45+BW45+CA45+CC45),1)))</f>
        <v>0</v>
      </c>
      <c r="CE45" s="28">
        <f>IF($G$4 = "MEDIA",ROUND(((Y45+AR45+BK45+CD45)/4),0),ROUND(((Y45+AR45+BK45)/3),0))</f>
        <v>0</v>
      </c>
      <c r="CF45" s="20"/>
      <c r="CG45" s="28">
        <f>IF(AND(CE45&lt;5,$G$4="BASICA"),ROUND((CE45+CF45)/2,0),IF(AND(CE45&lt;6,$G$4="MEDIA"),ROUND((CE45+CF45)/2,0),CE45))</f>
        <v>0</v>
      </c>
      <c r="CH45" s="17" t="str">
        <f>IF($G$4="MEDIA",IF(CG45&gt;=6,"Aprobado","Reprobado"),IF(CG45&gt;=5,"Aprobado","Reprobado"))</f>
        <v>Reprobado</v>
      </c>
    </row>
    <row r="46" spans="1:86" customHeight="1" ht="20.25">
      <c r="A46" s="41">
        <v>34</v>
      </c>
      <c r="B46" s="3">
        <v>10635345</v>
      </c>
      <c r="C46" s="3">
        <v>4880</v>
      </c>
      <c r="D46" s="3">
        <v>26981</v>
      </c>
      <c r="E46" s="3" t="s">
        <v>71</v>
      </c>
      <c r="F46" s="42" t="s">
        <v>37</v>
      </c>
      <c r="G46" s="32"/>
      <c r="H46" s="12"/>
      <c r="I46" s="12"/>
      <c r="J46" s="12"/>
      <c r="K46" s="12"/>
      <c r="L46" s="46">
        <f>IF(OR($G$4="MEDIA",$G$4="BASICA - TERCER CICLO"),ROUND(((G46*$G$11)+(H46*$H$11)+(I46*$I$11)+(J46*$J$11)+(K46*$K$11)*100)/35%,2),ROUND((G46*$G$11)+(H46*$H$11)+(I46*$I$11)+(J46*$J$11)+(K46*$K$11),2))</f>
        <v>0</v>
      </c>
      <c r="M46" s="12"/>
      <c r="N46" s="12"/>
      <c r="O46" s="12"/>
      <c r="P46" s="12"/>
      <c r="Q46" s="12"/>
      <c r="R46" s="46">
        <f>IF(OR($G$4="MEDIA",$G$4="BASICA - TERCER CICLO"),ROUND(((M46*$M$11)+(N46*$N$11)+(O46*$O$11)+(P46*$P$11)+(Q46*$Q$11)*100)/35%,2),ROUND((M46*$M$11)+(N46*$N$11)+(O46*$O$11)+(P46*$P$11)+(Q46*$Q$11),2))</f>
        <v>0</v>
      </c>
      <c r="S46" s="12"/>
      <c r="T46" s="12"/>
      <c r="U46" s="12"/>
      <c r="V46" s="13">
        <f>IF(OR($G$4="MEDIA",$G$4="BASICA - TERCER CICLO"),ROUND(((S46*$S$11)+(T46*$T$11)+(U46*$U$11)*100)/30%,2),ROUND(((S46*$S$11)+(T46*$T$11)+(U46*$U$11)*100)/30%,2))</f>
        <v>0</v>
      </c>
      <c r="W46" s="12"/>
      <c r="X46" s="14">
        <f>IF(OR($G$4="MEDIA",$G$4="BASICA - TERCER CICLO"),ROUND((W46*$W$11),2),ROUND((W46*$W$11),0))</f>
        <v>0</v>
      </c>
      <c r="Y46" s="47">
        <f>ROUND((L46+R46+V46)/3,1)</f>
        <v>0</v>
      </c>
      <c r="Z46" s="12"/>
      <c r="AA46" s="12"/>
      <c r="AB46" s="12"/>
      <c r="AC46" s="12"/>
      <c r="AD46" s="12"/>
      <c r="AE46" s="46">
        <f>IF(OR($G$4="MEDIA",$G$4="BASICA - TERCER CICLO"),ROUND(((Z46*$Z$11)+(AA46*$AA$11)+(AB46*$AB$11)+(AC46*$AC$11)+(AD46*$AD$11)*100)/35%,2),ROUND((Z46*$Z$11)+(AA46*$AA$11)+(AB46*$AB$11)+(AC46*$AC$11)+(AD46*$AD$11),2))</f>
        <v>0</v>
      </c>
      <c r="AF46" s="12"/>
      <c r="AG46" s="12"/>
      <c r="AH46" s="12"/>
      <c r="AI46" s="12"/>
      <c r="AJ46" s="12"/>
      <c r="AK46" s="46">
        <f>IF(OR($G$4="MEDIA",$G$4="BASICA - TERCER CICLO"),ROUND(((AF46*$AF$11)+(AG46*$AG$11)+(AH46*$AH$11)+(AI46*$AI$11)+(AJ46*$AJ$11)*100)/35%,2),ROUND((AF46*$AF$11)+(AG46*$AG$11)+(AH46*$AH$11)+(AI46*$AI$11)+(AJ46*$AJ$11),2))</f>
        <v>0</v>
      </c>
      <c r="AL46" s="12"/>
      <c r="AM46" s="12"/>
      <c r="AN46" s="12"/>
      <c r="AO46" s="46">
        <f>IF(OR($G$4="MEDIA",$G$4="BASICA - TERCER CICLO"),ROUND(((AL46*$AL$11)+(AM46*$AM$11)+(AN46*$AN$11)*100)/30%,2),ROUND(((AL46*$AL$11)+(AM46*$AM$11)+(AN46*$AN$11)*100)/30%,2))</f>
        <v>0</v>
      </c>
      <c r="AP46" s="12"/>
      <c r="AQ46" s="14">
        <f>IF(OR($G$4="MEDIA",$G$4="BASICA - TERCER CICLO"),ROUND((AP46*$AP$11),2),ROUND((AP46*$AP$11),0))</f>
        <v>0</v>
      </c>
      <c r="AR46" s="47">
        <f>ROUND((AE46+AK46+AO46)/3,1)</f>
        <v>0</v>
      </c>
      <c r="AS46" s="12"/>
      <c r="AT46" s="12"/>
      <c r="AU46" s="12"/>
      <c r="AV46" s="12"/>
      <c r="AW46" s="12"/>
      <c r="AX46" s="46">
        <f>IF(OR($G$4="MEDIA",$G$4="BASICA - TERCER CICLO"),ROUND(((AS46*$AS$11)+(AT46*$AT$11)+(AU46*$AU$11)+(AV46*$AV$11)+(AW46*$AW$11)*100)/35%,2),ROUND((AS46*$AS$11)+(AT46*$AT$11)+(AU46*$AU$11)+(AV46*$AV$11)+(AW46*$AW$11),2))</f>
        <v>0</v>
      </c>
      <c r="AY46" s="12"/>
      <c r="AZ46" s="12"/>
      <c r="BA46" s="12"/>
      <c r="BB46" s="12"/>
      <c r="BC46" s="12"/>
      <c r="BD46" s="46">
        <f>IF(OR($G$4="MEDIA",$G$4="BASICA - TERCER CICLO"),ROUND(((AY46*$AY$11)+(AZ46*$AZ$11)+(BA46*$BA$11)+(BB46*$BB$11)+(BC46*$BC$11)*100)/35%,2),ROUND((AY46*$AY$11)+(AZ46*$AZ$11)+(BA46*$BA$11)+(BB46*$BB$11)+(BC46*$BC$11),2))</f>
        <v>0</v>
      </c>
      <c r="BE46" s="12"/>
      <c r="BF46" s="12"/>
      <c r="BG46" s="12"/>
      <c r="BH46" s="46">
        <f>IF(OR($G$4="MEDIA",$G$4="BASICA - TERCER CICLO"),ROUND(((BE46*$BE$11)+(BF46*$BF$11)+(BG46*$BG$11)*100)/30%,2),ROUND(((BE46*$BE$11)+(BF46*$BF$11)+(BG46*$BG$11)*100)/30%,2))</f>
        <v>0</v>
      </c>
      <c r="BI46" s="12"/>
      <c r="BJ46" s="14">
        <f>IF(OR($G$4="MEDIA",$G$4="BASICA - TERCER CICLO"),ROUND((BI46*$BI$11),2),ROUND((BI46*$BI$11),0))</f>
        <v>0</v>
      </c>
      <c r="BK46" s="47">
        <f>ROUND((AX46+BD46+BH46)/3,1)</f>
        <v>0</v>
      </c>
      <c r="BL46" s="12"/>
      <c r="BM46" s="12"/>
      <c r="BN46" s="12"/>
      <c r="BO46" s="12"/>
      <c r="BP46" s="12"/>
      <c r="BQ46" s="13">
        <f>IF(OR($G$4="MEDIA",$G$4="BASICA - TERCER CICLO"),ROUND(((BL46*$BL$11)+(BM46*$BM$11)+(BN46*$BN$11)+(BO46*$BO$11)+(BP46*$BP$11)*100)/35%,2),ROUND(((BL46*$BL$11)+(BM46*$BM$11)+(BN46*$BN$11)+(BO46*$BO$11)+(BP46*$BP$11)*100)/35%,2))</f>
        <v>0</v>
      </c>
      <c r="BR46" s="12"/>
      <c r="BS46" s="12"/>
      <c r="BT46" s="12"/>
      <c r="BU46" s="12"/>
      <c r="BV46" s="12"/>
      <c r="BW46" s="13">
        <f>IF(OR($G$4="MEDIA",$G$4="BASICA - TERCER CICLO"),ROUND(((BR46*$BR$11)+(BS46*$BS$11)+(BT46*$BT$11)+(BU46*$BU$11)+(BV46*$BV$11)*100)/35%,2),ROUND(((BR46*$BR$11)+(BS46*$BS$11)+(BT46*$BT$11)+(BU46*$BU$11)+(BV46*$BP$11)*100)/35%,2))</f>
        <v>0</v>
      </c>
      <c r="BX46" s="12"/>
      <c r="BY46" s="12"/>
      <c r="BZ46" s="12"/>
      <c r="CA46" s="13">
        <f>IF(OR($G$4="MEDIA",$G$4="BASICA - TERCER CICLO"),ROUND(((BX46*$BX$11)+(BY46*$BY$11)+(BZ46*$BZ$11)*100)/30%,2),ROUND(((BX46*$BX$11)+(BY46*$BY$11)+(BZ46*$BZ$11)*100)/30%,2))</f>
        <v>0</v>
      </c>
      <c r="CB46" s="12"/>
      <c r="CC46" s="14">
        <f>IF(OR($G$4="MEDIA",$G$4="BASICA - TERCER CICLO"),ROUND((CB46*$BI$11),2),ROUND((CB46*$BI$11),0))</f>
        <v>0</v>
      </c>
      <c r="CD46" s="28">
        <f>IF(OR($G$4="MEDIA",$G$4="BASICA - TERCER CICLO"),ROUND((BQ46+BW46+CA46+CC46),1),IF($G$4="BASICA",ROUND((BQ46+BW46+CA46+CC46),0),ROUND((BQ46+BW46+CA46+CC46),1)))</f>
        <v>0</v>
      </c>
      <c r="CE46" s="28">
        <f>IF($G$4 = "MEDIA",ROUND(((Y46+AR46+BK46+CD46)/4),0),ROUND(((Y46+AR46+BK46)/3),0))</f>
        <v>0</v>
      </c>
      <c r="CF46" s="21"/>
      <c r="CG46" s="28">
        <f>IF(AND(CE46&lt;5,$G$4="BASICA"),ROUND((CE46+CF46)/2,0),IF(AND(CE46&lt;6,$G$4="MEDIA"),ROUND((CE46+CF46)/2,0),CE46))</f>
        <v>0</v>
      </c>
      <c r="CH46" s="16" t="str">
        <f>IF($G$4="MEDIA",IF(CG46&gt;=6,"Aprobado","Reprobado"),IF(CG46&gt;=5,"Aprobado","Reprobado"))</f>
        <v>Reprobado</v>
      </c>
    </row>
    <row r="47" spans="1:86" customHeight="1" ht="20.25">
      <c r="A47" s="39">
        <v>35</v>
      </c>
      <c r="B47" s="2">
        <v>10112796</v>
      </c>
      <c r="C47" s="2">
        <v>5120</v>
      </c>
      <c r="D47" s="2">
        <v>26982</v>
      </c>
      <c r="E47" s="2" t="s">
        <v>72</v>
      </c>
      <c r="F47" s="40" t="s">
        <v>37</v>
      </c>
      <c r="G47" s="31"/>
      <c r="H47" s="7"/>
      <c r="I47" s="7"/>
      <c r="J47" s="7"/>
      <c r="K47" s="7"/>
      <c r="L47" s="46">
        <f>IF(OR($G$4="MEDIA",$G$4="BASICA - TERCER CICLO"),ROUND(((G47*$G$11)+(H47*$H$11)+(I47*$I$11)+(J47*$J$11)+(K47*$K$11)*100)/35%,2),ROUND((G47*$G$11)+(H47*$H$11)+(I47*$I$11)+(J47*$J$11)+(K47*$K$11),2))</f>
        <v>0</v>
      </c>
      <c r="M47" s="7"/>
      <c r="N47" s="7"/>
      <c r="O47" s="7"/>
      <c r="P47" s="7"/>
      <c r="Q47" s="7"/>
      <c r="R47" s="46">
        <f>IF(OR($G$4="MEDIA",$G$4="BASICA - TERCER CICLO"),ROUND(((M47*$M$11)+(N47*$N$11)+(O47*$O$11)+(P47*$P$11)+(Q47*$Q$11)*100)/35%,2),ROUND((M47*$M$11)+(N47*$N$11)+(O47*$O$11)+(P47*$P$11)+(Q47*$Q$11),2))</f>
        <v>0</v>
      </c>
      <c r="S47" s="7"/>
      <c r="T47" s="7"/>
      <c r="U47" s="7"/>
      <c r="V47" s="13">
        <f>IF(OR($G$4="MEDIA",$G$4="BASICA - TERCER CICLO"),ROUND(((S47*$S$11)+(T47*$T$11)+(U47*$U$11)*100)/30%,2),ROUND(((S47*$S$11)+(T47*$T$11)+(U47*$U$11)*100)/30%,2))</f>
        <v>0</v>
      </c>
      <c r="W47" s="7"/>
      <c r="X47" s="14">
        <f>IF(OR($G$4="MEDIA",$G$4="BASICA - TERCER CICLO"),ROUND((W47*$W$11),2),ROUND((W47*$W$11),0))</f>
        <v>0</v>
      </c>
      <c r="Y47" s="47">
        <f>ROUND((L47+R47+V47)/3,1)</f>
        <v>0</v>
      </c>
      <c r="Z47" s="7"/>
      <c r="AA47" s="7"/>
      <c r="AB47" s="7"/>
      <c r="AC47" s="7"/>
      <c r="AD47" s="7"/>
      <c r="AE47" s="46">
        <f>IF(OR($G$4="MEDIA",$G$4="BASICA - TERCER CICLO"),ROUND(((Z47*$Z$11)+(AA47*$AA$11)+(AB47*$AB$11)+(AC47*$AC$11)+(AD47*$AD$11)*100)/35%,2),ROUND((Z47*$Z$11)+(AA47*$AA$11)+(AB47*$AB$11)+(AC47*$AC$11)+(AD47*$AD$11),2))</f>
        <v>0</v>
      </c>
      <c r="AF47" s="7"/>
      <c r="AG47" s="7"/>
      <c r="AH47" s="7"/>
      <c r="AI47" s="7"/>
      <c r="AJ47" s="7"/>
      <c r="AK47" s="46">
        <f>IF(OR($G$4="MEDIA",$G$4="BASICA - TERCER CICLO"),ROUND(((AF47*$AF$11)+(AG47*$AG$11)+(AH47*$AH$11)+(AI47*$AI$11)+(AJ47*$AJ$11)*100)/35%,2),ROUND((AF47*$AF$11)+(AG47*$AG$11)+(AH47*$AH$11)+(AI47*$AI$11)+(AJ47*$AJ$11),2))</f>
        <v>0</v>
      </c>
      <c r="AL47" s="7"/>
      <c r="AM47" s="7"/>
      <c r="AN47" s="7"/>
      <c r="AO47" s="46">
        <f>IF(OR($G$4="MEDIA",$G$4="BASICA - TERCER CICLO"),ROUND(((AL47*$AL$11)+(AM47*$AM$11)+(AN47*$AN$11)*100)/30%,2),ROUND(((AL47*$AL$11)+(AM47*$AM$11)+(AN47*$AN$11)*100)/30%,2))</f>
        <v>0</v>
      </c>
      <c r="AP47" s="7"/>
      <c r="AQ47" s="14">
        <f>IF(OR($G$4="MEDIA",$G$4="BASICA - TERCER CICLO"),ROUND((AP47*$AP$11),2),ROUND((AP47*$AP$11),0))</f>
        <v>0</v>
      </c>
      <c r="AR47" s="47">
        <f>ROUND((AE47+AK47+AO47)/3,1)</f>
        <v>0</v>
      </c>
      <c r="AS47" s="7"/>
      <c r="AT47" s="7"/>
      <c r="AU47" s="7"/>
      <c r="AV47" s="7"/>
      <c r="AW47" s="7"/>
      <c r="AX47" s="46">
        <f>IF(OR($G$4="MEDIA",$G$4="BASICA - TERCER CICLO"),ROUND(((AS47*$AS$11)+(AT47*$AT$11)+(AU47*$AU$11)+(AV47*$AV$11)+(AW47*$AW$11)*100)/35%,2),ROUND((AS47*$AS$11)+(AT47*$AT$11)+(AU47*$AU$11)+(AV47*$AV$11)+(AW47*$AW$11),2))</f>
        <v>0</v>
      </c>
      <c r="AY47" s="7"/>
      <c r="AZ47" s="7"/>
      <c r="BA47" s="7"/>
      <c r="BB47" s="7"/>
      <c r="BC47" s="7"/>
      <c r="BD47" s="46">
        <f>IF(OR($G$4="MEDIA",$G$4="BASICA - TERCER CICLO"),ROUND(((AY47*$AY$11)+(AZ47*$AZ$11)+(BA47*$BA$11)+(BB47*$BB$11)+(BC47*$BC$11)*100)/35%,2),ROUND((AY47*$AY$11)+(AZ47*$AZ$11)+(BA47*$BA$11)+(BB47*$BB$11)+(BC47*$BC$11),2))</f>
        <v>0</v>
      </c>
      <c r="BE47" s="7"/>
      <c r="BF47" s="7"/>
      <c r="BG47" s="7"/>
      <c r="BH47" s="46">
        <f>IF(OR($G$4="MEDIA",$G$4="BASICA - TERCER CICLO"),ROUND(((BE47*$BE$11)+(BF47*$BF$11)+(BG47*$BG$11)*100)/30%,2),ROUND(((BE47*$BE$11)+(BF47*$BF$11)+(BG47*$BG$11)*100)/30%,2))</f>
        <v>0</v>
      </c>
      <c r="BI47" s="7"/>
      <c r="BJ47" s="14">
        <f>IF(OR($G$4="MEDIA",$G$4="BASICA - TERCER CICLO"),ROUND((BI47*$BI$11),2),ROUND((BI47*$BI$11),0))</f>
        <v>0</v>
      </c>
      <c r="BK47" s="47">
        <f>ROUND((AX47+BD47+BH47)/3,1)</f>
        <v>0</v>
      </c>
      <c r="BL47" s="7"/>
      <c r="BM47" s="7"/>
      <c r="BN47" s="7"/>
      <c r="BO47" s="7"/>
      <c r="BP47" s="7"/>
      <c r="BQ47" s="13">
        <f>IF(OR($G$4="MEDIA",$G$4="BASICA - TERCER CICLO"),ROUND(((BL47*$BL$11)+(BM47*$BM$11)+(BN47*$BN$11)+(BO47*$BO$11)+(BP47*$BP$11)*100)/35%,2),ROUND(((BL47*$BL$11)+(BM47*$BM$11)+(BN47*$BN$11)+(BO47*$BO$11)+(BP47*$BP$11)*100)/35%,2))</f>
        <v>0</v>
      </c>
      <c r="BR47" s="7"/>
      <c r="BS47" s="7"/>
      <c r="BT47" s="7"/>
      <c r="BU47" s="7"/>
      <c r="BV47" s="7"/>
      <c r="BW47" s="13">
        <f>IF(OR($G$4="MEDIA",$G$4="BASICA - TERCER CICLO"),ROUND(((BR47*$BR$11)+(BS47*$BS$11)+(BT47*$BT$11)+(BU47*$BU$11)+(BV47*$BV$11)*100)/35%,2),ROUND(((BR47*$BR$11)+(BS47*$BS$11)+(BT47*$BT$11)+(BU47*$BU$11)+(BV47*$BP$11)*100)/35%,2))</f>
        <v>0</v>
      </c>
      <c r="BX47" s="7"/>
      <c r="BY47" s="7"/>
      <c r="BZ47" s="7"/>
      <c r="CA47" s="13">
        <f>IF(OR($G$4="MEDIA",$G$4="BASICA - TERCER CICLO"),ROUND(((BX47*$BX$11)+(BY47*$BY$11)+(BZ47*$BZ$11)*100)/30%,2),ROUND(((BX47*$BX$11)+(BY47*$BY$11)+(BZ47*$BZ$11)*100)/30%,2))</f>
        <v>0</v>
      </c>
      <c r="CB47" s="7"/>
      <c r="CC47" s="14">
        <f>IF(OR($G$4="MEDIA",$G$4="BASICA - TERCER CICLO"),ROUND((CB47*$BI$11),2),ROUND((CB47*$BI$11),0))</f>
        <v>0</v>
      </c>
      <c r="CD47" s="28">
        <f>IF(OR($G$4="MEDIA",$G$4="BASICA - TERCER CICLO"),ROUND((BQ47+BW47+CA47+CC47),1),IF($G$4="BASICA",ROUND((BQ47+BW47+CA47+CC47),0),ROUND((BQ47+BW47+CA47+CC47),1)))</f>
        <v>0</v>
      </c>
      <c r="CE47" s="28">
        <f>IF($G$4 = "MEDIA",ROUND(((Y47+AR47+BK47+CD47)/4),0),ROUND(((Y47+AR47+BK47)/3),0))</f>
        <v>0</v>
      </c>
      <c r="CF47" s="20"/>
      <c r="CG47" s="28">
        <f>IF(AND(CE47&lt;5,$G$4="BASICA"),ROUND((CE47+CF47)/2,0),IF(AND(CE47&lt;6,$G$4="MEDIA"),ROUND((CE47+CF47)/2,0),CE47))</f>
        <v>0</v>
      </c>
      <c r="CH47" s="17" t="str">
        <f>IF($G$4="MEDIA",IF(CG47&gt;=6,"Aprobado","Reprobado"),IF(CG47&gt;=5,"Aprobado","Reprobado"))</f>
        <v>Reprobado</v>
      </c>
    </row>
    <row r="48" spans="1:86" customHeight="1" ht="20.25">
      <c r="A48" s="41">
        <v>36</v>
      </c>
      <c r="B48" s="3">
        <v>10282533</v>
      </c>
      <c r="C48" s="3">
        <v>4397</v>
      </c>
      <c r="D48" s="3">
        <v>26983</v>
      </c>
      <c r="E48" s="3" t="s">
        <v>73</v>
      </c>
      <c r="F48" s="42" t="s">
        <v>39</v>
      </c>
      <c r="G48" s="32"/>
      <c r="H48" s="12"/>
      <c r="I48" s="12"/>
      <c r="J48" s="12"/>
      <c r="K48" s="12"/>
      <c r="L48" s="46">
        <f>IF(OR($G$4="MEDIA",$G$4="BASICA - TERCER CICLO"),ROUND(((G48*$G$11)+(H48*$H$11)+(I48*$I$11)+(J48*$J$11)+(K48*$K$11)*100)/35%,2),ROUND((G48*$G$11)+(H48*$H$11)+(I48*$I$11)+(J48*$J$11)+(K48*$K$11),2))</f>
        <v>0</v>
      </c>
      <c r="M48" s="12"/>
      <c r="N48" s="12"/>
      <c r="O48" s="12"/>
      <c r="P48" s="12"/>
      <c r="Q48" s="12"/>
      <c r="R48" s="46">
        <f>IF(OR($G$4="MEDIA",$G$4="BASICA - TERCER CICLO"),ROUND(((M48*$M$11)+(N48*$N$11)+(O48*$O$11)+(P48*$P$11)+(Q48*$Q$11)*100)/35%,2),ROUND((M48*$M$11)+(N48*$N$11)+(O48*$O$11)+(P48*$P$11)+(Q48*$Q$11),2))</f>
        <v>0</v>
      </c>
      <c r="S48" s="12"/>
      <c r="T48" s="12"/>
      <c r="U48" s="12"/>
      <c r="V48" s="13">
        <f>IF(OR($G$4="MEDIA",$G$4="BASICA - TERCER CICLO"),ROUND(((S48*$S$11)+(T48*$T$11)+(U48*$U$11)*100)/30%,2),ROUND(((S48*$S$11)+(T48*$T$11)+(U48*$U$11)*100)/30%,2))</f>
        <v>0</v>
      </c>
      <c r="W48" s="12"/>
      <c r="X48" s="14">
        <f>IF(OR($G$4="MEDIA",$G$4="BASICA - TERCER CICLO"),ROUND((W48*$W$11),2),ROUND((W48*$W$11),0))</f>
        <v>0</v>
      </c>
      <c r="Y48" s="47">
        <f>ROUND((L48+R48+V48)/3,1)</f>
        <v>0</v>
      </c>
      <c r="Z48" s="12"/>
      <c r="AA48" s="12"/>
      <c r="AB48" s="12"/>
      <c r="AC48" s="12"/>
      <c r="AD48" s="12"/>
      <c r="AE48" s="46">
        <f>IF(OR($G$4="MEDIA",$G$4="BASICA - TERCER CICLO"),ROUND(((Z48*$Z$11)+(AA48*$AA$11)+(AB48*$AB$11)+(AC48*$AC$11)+(AD48*$AD$11)*100)/35%,2),ROUND((Z48*$Z$11)+(AA48*$AA$11)+(AB48*$AB$11)+(AC48*$AC$11)+(AD48*$AD$11),2))</f>
        <v>0</v>
      </c>
      <c r="AF48" s="12"/>
      <c r="AG48" s="12"/>
      <c r="AH48" s="12"/>
      <c r="AI48" s="12"/>
      <c r="AJ48" s="12"/>
      <c r="AK48" s="46">
        <f>IF(OR($G$4="MEDIA",$G$4="BASICA - TERCER CICLO"),ROUND(((AF48*$AF$11)+(AG48*$AG$11)+(AH48*$AH$11)+(AI48*$AI$11)+(AJ48*$AJ$11)*100)/35%,2),ROUND((AF48*$AF$11)+(AG48*$AG$11)+(AH48*$AH$11)+(AI48*$AI$11)+(AJ48*$AJ$11),2))</f>
        <v>0</v>
      </c>
      <c r="AL48" s="12"/>
      <c r="AM48" s="12"/>
      <c r="AN48" s="12"/>
      <c r="AO48" s="46">
        <f>IF(OR($G$4="MEDIA",$G$4="BASICA - TERCER CICLO"),ROUND(((AL48*$AL$11)+(AM48*$AM$11)+(AN48*$AN$11)*100)/30%,2),ROUND(((AL48*$AL$11)+(AM48*$AM$11)+(AN48*$AN$11)*100)/30%,2))</f>
        <v>0</v>
      </c>
      <c r="AP48" s="12"/>
      <c r="AQ48" s="14">
        <f>IF(OR($G$4="MEDIA",$G$4="BASICA - TERCER CICLO"),ROUND((AP48*$AP$11),2),ROUND((AP48*$AP$11),0))</f>
        <v>0</v>
      </c>
      <c r="AR48" s="47">
        <f>ROUND((AE48+AK48+AO48)/3,1)</f>
        <v>0</v>
      </c>
      <c r="AS48" s="12"/>
      <c r="AT48" s="12"/>
      <c r="AU48" s="12"/>
      <c r="AV48" s="12"/>
      <c r="AW48" s="12"/>
      <c r="AX48" s="46">
        <f>IF(OR($G$4="MEDIA",$G$4="BASICA - TERCER CICLO"),ROUND(((AS48*$AS$11)+(AT48*$AT$11)+(AU48*$AU$11)+(AV48*$AV$11)+(AW48*$AW$11)*100)/35%,2),ROUND((AS48*$AS$11)+(AT48*$AT$11)+(AU48*$AU$11)+(AV48*$AV$11)+(AW48*$AW$11),2))</f>
        <v>0</v>
      </c>
      <c r="AY48" s="12"/>
      <c r="AZ48" s="12"/>
      <c r="BA48" s="12"/>
      <c r="BB48" s="12"/>
      <c r="BC48" s="12"/>
      <c r="BD48" s="46">
        <f>IF(OR($G$4="MEDIA",$G$4="BASICA - TERCER CICLO"),ROUND(((AY48*$AY$11)+(AZ48*$AZ$11)+(BA48*$BA$11)+(BB48*$BB$11)+(BC48*$BC$11)*100)/35%,2),ROUND((AY48*$AY$11)+(AZ48*$AZ$11)+(BA48*$BA$11)+(BB48*$BB$11)+(BC48*$BC$11),2))</f>
        <v>0</v>
      </c>
      <c r="BE48" s="12"/>
      <c r="BF48" s="12"/>
      <c r="BG48" s="12"/>
      <c r="BH48" s="46">
        <f>IF(OR($G$4="MEDIA",$G$4="BASICA - TERCER CICLO"),ROUND(((BE48*$BE$11)+(BF48*$BF$11)+(BG48*$BG$11)*100)/30%,2),ROUND(((BE48*$BE$11)+(BF48*$BF$11)+(BG48*$BG$11)*100)/30%,2))</f>
        <v>0</v>
      </c>
      <c r="BI48" s="12"/>
      <c r="BJ48" s="14">
        <f>IF(OR($G$4="MEDIA",$G$4="BASICA - TERCER CICLO"),ROUND((BI48*$BI$11),2),ROUND((BI48*$BI$11),0))</f>
        <v>0</v>
      </c>
      <c r="BK48" s="47">
        <f>ROUND((AX48+BD48+BH48)/3,1)</f>
        <v>0</v>
      </c>
      <c r="BL48" s="12"/>
      <c r="BM48" s="12"/>
      <c r="BN48" s="12"/>
      <c r="BO48" s="12"/>
      <c r="BP48" s="12"/>
      <c r="BQ48" s="13">
        <f>IF(OR($G$4="MEDIA",$G$4="BASICA - TERCER CICLO"),ROUND(((BL48*$BL$11)+(BM48*$BM$11)+(BN48*$BN$11)+(BO48*$BO$11)+(BP48*$BP$11)*100)/35%,2),ROUND(((BL48*$BL$11)+(BM48*$BM$11)+(BN48*$BN$11)+(BO48*$BO$11)+(BP48*$BP$11)*100)/35%,2))</f>
        <v>0</v>
      </c>
      <c r="BR48" s="12"/>
      <c r="BS48" s="12"/>
      <c r="BT48" s="12"/>
      <c r="BU48" s="12"/>
      <c r="BV48" s="12"/>
      <c r="BW48" s="13">
        <f>IF(OR($G$4="MEDIA",$G$4="BASICA - TERCER CICLO"),ROUND(((BR48*$BR$11)+(BS48*$BS$11)+(BT48*$BT$11)+(BU48*$BU$11)+(BV48*$BV$11)*100)/35%,2),ROUND(((BR48*$BR$11)+(BS48*$BS$11)+(BT48*$BT$11)+(BU48*$BU$11)+(BV48*$BP$11)*100)/35%,2))</f>
        <v>0</v>
      </c>
      <c r="BX48" s="12"/>
      <c r="BY48" s="12"/>
      <c r="BZ48" s="12"/>
      <c r="CA48" s="13">
        <f>IF(OR($G$4="MEDIA",$G$4="BASICA - TERCER CICLO"),ROUND(((BX48*$BX$11)+(BY48*$BY$11)+(BZ48*$BZ$11)*100)/30%,2),ROUND(((BX48*$BX$11)+(BY48*$BY$11)+(BZ48*$BZ$11)*100)/30%,2))</f>
        <v>0</v>
      </c>
      <c r="CB48" s="12"/>
      <c r="CC48" s="14">
        <f>IF(OR($G$4="MEDIA",$G$4="BASICA - TERCER CICLO"),ROUND((CB48*$BI$11),2),ROUND((CB48*$BI$11),0))</f>
        <v>0</v>
      </c>
      <c r="CD48" s="28">
        <f>IF(OR($G$4="MEDIA",$G$4="BASICA - TERCER CICLO"),ROUND((BQ48+BW48+CA48+CC48),1),IF($G$4="BASICA",ROUND((BQ48+BW48+CA48+CC48),0),ROUND((BQ48+BW48+CA48+CC48),1)))</f>
        <v>0</v>
      </c>
      <c r="CE48" s="28">
        <f>IF($G$4 = "MEDIA",ROUND(((Y48+AR48+BK48+CD48)/4),0),ROUND(((Y48+AR48+BK48)/3),0))</f>
        <v>0</v>
      </c>
      <c r="CF48" s="21"/>
      <c r="CG48" s="28">
        <f>IF(AND(CE48&lt;5,$G$4="BASICA"),ROUND((CE48+CF48)/2,0),IF(AND(CE48&lt;6,$G$4="MEDIA"),ROUND((CE48+CF48)/2,0),CE48))</f>
        <v>0</v>
      </c>
      <c r="CH48" s="16" t="str">
        <f>IF($G$4="MEDIA",IF(CG48&gt;=6,"Aprobado","Reprobado"),IF(CG48&gt;=5,"Aprobado","Reprobado"))</f>
        <v>Reprobado</v>
      </c>
    </row>
    <row r="49" spans="1:86" customHeight="1" ht="20.25">
      <c r="A49" s="39">
        <v>37</v>
      </c>
      <c r="B49" s="2">
        <v>10475165</v>
      </c>
      <c r="C49" s="2">
        <v>5069</v>
      </c>
      <c r="D49" s="2">
        <v>26984</v>
      </c>
      <c r="E49" s="2" t="s">
        <v>74</v>
      </c>
      <c r="F49" s="40" t="s">
        <v>39</v>
      </c>
      <c r="G49" s="31"/>
      <c r="H49" s="7"/>
      <c r="I49" s="7"/>
      <c r="J49" s="7"/>
      <c r="K49" s="7"/>
      <c r="L49" s="46">
        <f>IF(OR($G$4="MEDIA",$G$4="BASICA - TERCER CICLO"),ROUND(((G49*$G$11)+(H49*$H$11)+(I49*$I$11)+(J49*$J$11)+(K49*$K$11)*100)/35%,2),ROUND((G49*$G$11)+(H49*$H$11)+(I49*$I$11)+(J49*$J$11)+(K49*$K$11),2))</f>
        <v>0</v>
      </c>
      <c r="M49" s="7"/>
      <c r="N49" s="7"/>
      <c r="O49" s="7"/>
      <c r="P49" s="7"/>
      <c r="Q49" s="7"/>
      <c r="R49" s="46">
        <f>IF(OR($G$4="MEDIA",$G$4="BASICA - TERCER CICLO"),ROUND(((M49*$M$11)+(N49*$N$11)+(O49*$O$11)+(P49*$P$11)+(Q49*$Q$11)*100)/35%,2),ROUND((M49*$M$11)+(N49*$N$11)+(O49*$O$11)+(P49*$P$11)+(Q49*$Q$11),2))</f>
        <v>0</v>
      </c>
      <c r="S49" s="7"/>
      <c r="T49" s="7"/>
      <c r="U49" s="7"/>
      <c r="V49" s="13">
        <f>IF(OR($G$4="MEDIA",$G$4="BASICA - TERCER CICLO"),ROUND(((S49*$S$11)+(T49*$T$11)+(U49*$U$11)*100)/30%,2),ROUND(((S49*$S$11)+(T49*$T$11)+(U49*$U$11)*100)/30%,2))</f>
        <v>0</v>
      </c>
      <c r="W49" s="7"/>
      <c r="X49" s="14">
        <f>IF(OR($G$4="MEDIA",$G$4="BASICA - TERCER CICLO"),ROUND((W49*$W$11),2),ROUND((W49*$W$11),0))</f>
        <v>0</v>
      </c>
      <c r="Y49" s="47">
        <f>ROUND((L49+R49+V49)/3,1)</f>
        <v>0</v>
      </c>
      <c r="Z49" s="7"/>
      <c r="AA49" s="7"/>
      <c r="AB49" s="7"/>
      <c r="AC49" s="7"/>
      <c r="AD49" s="7"/>
      <c r="AE49" s="46">
        <f>IF(OR($G$4="MEDIA",$G$4="BASICA - TERCER CICLO"),ROUND(((Z49*$Z$11)+(AA49*$AA$11)+(AB49*$AB$11)+(AC49*$AC$11)+(AD49*$AD$11)*100)/35%,2),ROUND((Z49*$Z$11)+(AA49*$AA$11)+(AB49*$AB$11)+(AC49*$AC$11)+(AD49*$AD$11),2))</f>
        <v>0</v>
      </c>
      <c r="AF49" s="7"/>
      <c r="AG49" s="7"/>
      <c r="AH49" s="7"/>
      <c r="AI49" s="7"/>
      <c r="AJ49" s="7"/>
      <c r="AK49" s="46">
        <f>IF(OR($G$4="MEDIA",$G$4="BASICA - TERCER CICLO"),ROUND(((AF49*$AF$11)+(AG49*$AG$11)+(AH49*$AH$11)+(AI49*$AI$11)+(AJ49*$AJ$11)*100)/35%,2),ROUND((AF49*$AF$11)+(AG49*$AG$11)+(AH49*$AH$11)+(AI49*$AI$11)+(AJ49*$AJ$11),2))</f>
        <v>0</v>
      </c>
      <c r="AL49" s="7"/>
      <c r="AM49" s="7"/>
      <c r="AN49" s="7"/>
      <c r="AO49" s="46">
        <f>IF(OR($G$4="MEDIA",$G$4="BASICA - TERCER CICLO"),ROUND(((AL49*$AL$11)+(AM49*$AM$11)+(AN49*$AN$11)*100)/30%,2),ROUND(((AL49*$AL$11)+(AM49*$AM$11)+(AN49*$AN$11)*100)/30%,2))</f>
        <v>0</v>
      </c>
      <c r="AP49" s="7"/>
      <c r="AQ49" s="14">
        <f>IF(OR($G$4="MEDIA",$G$4="BASICA - TERCER CICLO"),ROUND((AP49*$AP$11),2),ROUND((AP49*$AP$11),0))</f>
        <v>0</v>
      </c>
      <c r="AR49" s="47">
        <f>ROUND((AE49+AK49+AO49)/3,1)</f>
        <v>0</v>
      </c>
      <c r="AS49" s="7"/>
      <c r="AT49" s="7"/>
      <c r="AU49" s="7"/>
      <c r="AV49" s="7"/>
      <c r="AW49" s="7"/>
      <c r="AX49" s="46">
        <f>IF(OR($G$4="MEDIA",$G$4="BASICA - TERCER CICLO"),ROUND(((AS49*$AS$11)+(AT49*$AT$11)+(AU49*$AU$11)+(AV49*$AV$11)+(AW49*$AW$11)*100)/35%,2),ROUND((AS49*$AS$11)+(AT49*$AT$11)+(AU49*$AU$11)+(AV49*$AV$11)+(AW49*$AW$11),2))</f>
        <v>0</v>
      </c>
      <c r="AY49" s="7"/>
      <c r="AZ49" s="7"/>
      <c r="BA49" s="7"/>
      <c r="BB49" s="7"/>
      <c r="BC49" s="7"/>
      <c r="BD49" s="46">
        <f>IF(OR($G$4="MEDIA",$G$4="BASICA - TERCER CICLO"),ROUND(((AY49*$AY$11)+(AZ49*$AZ$11)+(BA49*$BA$11)+(BB49*$BB$11)+(BC49*$BC$11)*100)/35%,2),ROUND((AY49*$AY$11)+(AZ49*$AZ$11)+(BA49*$BA$11)+(BB49*$BB$11)+(BC49*$BC$11),2))</f>
        <v>0</v>
      </c>
      <c r="BE49" s="7"/>
      <c r="BF49" s="7"/>
      <c r="BG49" s="7"/>
      <c r="BH49" s="46">
        <f>IF(OR($G$4="MEDIA",$G$4="BASICA - TERCER CICLO"),ROUND(((BE49*$BE$11)+(BF49*$BF$11)+(BG49*$BG$11)*100)/30%,2),ROUND(((BE49*$BE$11)+(BF49*$BF$11)+(BG49*$BG$11)*100)/30%,2))</f>
        <v>0</v>
      </c>
      <c r="BI49" s="7"/>
      <c r="BJ49" s="14">
        <f>IF(OR($G$4="MEDIA",$G$4="BASICA - TERCER CICLO"),ROUND((BI49*$BI$11),2),ROUND((BI49*$BI$11),0))</f>
        <v>0</v>
      </c>
      <c r="BK49" s="47">
        <f>ROUND((AX49+BD49+BH49)/3,1)</f>
        <v>0</v>
      </c>
      <c r="BL49" s="7"/>
      <c r="BM49" s="7"/>
      <c r="BN49" s="7"/>
      <c r="BO49" s="7"/>
      <c r="BP49" s="7"/>
      <c r="BQ49" s="13">
        <f>IF(OR($G$4="MEDIA",$G$4="BASICA - TERCER CICLO"),ROUND(((BL49*$BL$11)+(BM49*$BM$11)+(BN49*$BN$11)+(BO49*$BO$11)+(BP49*$BP$11)*100)/35%,2),ROUND(((BL49*$BL$11)+(BM49*$BM$11)+(BN49*$BN$11)+(BO49*$BO$11)+(BP49*$BP$11)*100)/35%,2))</f>
        <v>0</v>
      </c>
      <c r="BR49" s="7"/>
      <c r="BS49" s="7"/>
      <c r="BT49" s="7"/>
      <c r="BU49" s="7"/>
      <c r="BV49" s="7"/>
      <c r="BW49" s="13">
        <f>IF(OR($G$4="MEDIA",$G$4="BASICA - TERCER CICLO"),ROUND(((BR49*$BR$11)+(BS49*$BS$11)+(BT49*$BT$11)+(BU49*$BU$11)+(BV49*$BV$11)*100)/35%,2),ROUND(((BR49*$BR$11)+(BS49*$BS$11)+(BT49*$BT$11)+(BU49*$BU$11)+(BV49*$BP$11)*100)/35%,2))</f>
        <v>0</v>
      </c>
      <c r="BX49" s="7"/>
      <c r="BY49" s="7"/>
      <c r="BZ49" s="7"/>
      <c r="CA49" s="13">
        <f>IF(OR($G$4="MEDIA",$G$4="BASICA - TERCER CICLO"),ROUND(((BX49*$BX$11)+(BY49*$BY$11)+(BZ49*$BZ$11)*100)/30%,2),ROUND(((BX49*$BX$11)+(BY49*$BY$11)+(BZ49*$BZ$11)*100)/30%,2))</f>
        <v>0</v>
      </c>
      <c r="CB49" s="7"/>
      <c r="CC49" s="14">
        <f>IF(OR($G$4="MEDIA",$G$4="BASICA - TERCER CICLO"),ROUND((CB49*$BI$11),2),ROUND((CB49*$BI$11),0))</f>
        <v>0</v>
      </c>
      <c r="CD49" s="28">
        <f>IF(OR($G$4="MEDIA",$G$4="BASICA - TERCER CICLO"),ROUND((BQ49+BW49+CA49+CC49),1),IF($G$4="BASICA",ROUND((BQ49+BW49+CA49+CC49),0),ROUND((BQ49+BW49+CA49+CC49),1)))</f>
        <v>0</v>
      </c>
      <c r="CE49" s="28">
        <f>IF($G$4 = "MEDIA",ROUND(((Y49+AR49+BK49+CD49)/4),0),ROUND(((Y49+AR49+BK49)/3),0))</f>
        <v>0</v>
      </c>
      <c r="CF49" s="20"/>
      <c r="CG49" s="28">
        <f>IF(AND(CE49&lt;5,$G$4="BASICA"),ROUND((CE49+CF49)/2,0),IF(AND(CE49&lt;6,$G$4="MEDIA"),ROUND((CE49+CF49)/2,0),CE49))</f>
        <v>0</v>
      </c>
      <c r="CH49" s="17" t="str">
        <f>IF($G$4="MEDIA",IF(CG49&gt;=6,"Aprobado","Reprobado"),IF(CG49&gt;=5,"Aprobado","Reprobado"))</f>
        <v>Reprobado</v>
      </c>
    </row>
    <row r="50" spans="1:86" customHeight="1" ht="20.25">
      <c r="A50" s="41">
        <v>38</v>
      </c>
      <c r="B50" s="3">
        <v>10487611</v>
      </c>
      <c r="C50" s="3">
        <v>5617</v>
      </c>
      <c r="D50" s="3">
        <v>26985</v>
      </c>
      <c r="E50" s="3" t="s">
        <v>75</v>
      </c>
      <c r="F50" s="42" t="s">
        <v>37</v>
      </c>
      <c r="G50" s="32"/>
      <c r="H50" s="12"/>
      <c r="I50" s="12"/>
      <c r="J50" s="12"/>
      <c r="K50" s="12"/>
      <c r="L50" s="46">
        <f>IF(OR($G$4="MEDIA",$G$4="BASICA - TERCER CICLO"),ROUND(((G50*$G$11)+(H50*$H$11)+(I50*$I$11)+(J50*$J$11)+(K50*$K$11)*100)/35%,2),ROUND((G50*$G$11)+(H50*$H$11)+(I50*$I$11)+(J50*$J$11)+(K50*$K$11),2))</f>
        <v>0</v>
      </c>
      <c r="M50" s="12"/>
      <c r="N50" s="12"/>
      <c r="O50" s="12"/>
      <c r="P50" s="12"/>
      <c r="Q50" s="12"/>
      <c r="R50" s="46">
        <f>IF(OR($G$4="MEDIA",$G$4="BASICA - TERCER CICLO"),ROUND(((M50*$M$11)+(N50*$N$11)+(O50*$O$11)+(P50*$P$11)+(Q50*$Q$11)*100)/35%,2),ROUND((M50*$M$11)+(N50*$N$11)+(O50*$O$11)+(P50*$P$11)+(Q50*$Q$11),2))</f>
        <v>0</v>
      </c>
      <c r="S50" s="12"/>
      <c r="T50" s="12"/>
      <c r="U50" s="12"/>
      <c r="V50" s="13">
        <f>IF(OR($G$4="MEDIA",$G$4="BASICA - TERCER CICLO"),ROUND(((S50*$S$11)+(T50*$T$11)+(U50*$U$11)*100)/30%,2),ROUND(((S50*$S$11)+(T50*$T$11)+(U50*$U$11)*100)/30%,2))</f>
        <v>0</v>
      </c>
      <c r="W50" s="12"/>
      <c r="X50" s="14">
        <f>IF(OR($G$4="MEDIA",$G$4="BASICA - TERCER CICLO"),ROUND((W50*$W$11),2),ROUND((W50*$W$11),0))</f>
        <v>0</v>
      </c>
      <c r="Y50" s="47">
        <f>ROUND((L50+R50+V50)/3,1)</f>
        <v>0</v>
      </c>
      <c r="Z50" s="12"/>
      <c r="AA50" s="12"/>
      <c r="AB50" s="12"/>
      <c r="AC50" s="12"/>
      <c r="AD50" s="12"/>
      <c r="AE50" s="46">
        <f>IF(OR($G$4="MEDIA",$G$4="BASICA - TERCER CICLO"),ROUND(((Z50*$Z$11)+(AA50*$AA$11)+(AB50*$AB$11)+(AC50*$AC$11)+(AD50*$AD$11)*100)/35%,2),ROUND((Z50*$Z$11)+(AA50*$AA$11)+(AB50*$AB$11)+(AC50*$AC$11)+(AD50*$AD$11),2))</f>
        <v>0</v>
      </c>
      <c r="AF50" s="12"/>
      <c r="AG50" s="12"/>
      <c r="AH50" s="12"/>
      <c r="AI50" s="12"/>
      <c r="AJ50" s="12"/>
      <c r="AK50" s="46">
        <f>IF(OR($G$4="MEDIA",$G$4="BASICA - TERCER CICLO"),ROUND(((AF50*$AF$11)+(AG50*$AG$11)+(AH50*$AH$11)+(AI50*$AI$11)+(AJ50*$AJ$11)*100)/35%,2),ROUND((AF50*$AF$11)+(AG50*$AG$11)+(AH50*$AH$11)+(AI50*$AI$11)+(AJ50*$AJ$11),2))</f>
        <v>0</v>
      </c>
      <c r="AL50" s="12"/>
      <c r="AM50" s="12"/>
      <c r="AN50" s="12"/>
      <c r="AO50" s="46">
        <f>IF(OR($G$4="MEDIA",$G$4="BASICA - TERCER CICLO"),ROUND(((AL50*$AL$11)+(AM50*$AM$11)+(AN50*$AN$11)*100)/30%,2),ROUND(((AL50*$AL$11)+(AM50*$AM$11)+(AN50*$AN$11)*100)/30%,2))</f>
        <v>0</v>
      </c>
      <c r="AP50" s="12"/>
      <c r="AQ50" s="14">
        <f>IF(OR($G$4="MEDIA",$G$4="BASICA - TERCER CICLO"),ROUND((AP50*$AP$11),2),ROUND((AP50*$AP$11),0))</f>
        <v>0</v>
      </c>
      <c r="AR50" s="47">
        <f>ROUND((AE50+AK50+AO50)/3,1)</f>
        <v>0</v>
      </c>
      <c r="AS50" s="12"/>
      <c r="AT50" s="12"/>
      <c r="AU50" s="12"/>
      <c r="AV50" s="12"/>
      <c r="AW50" s="12"/>
      <c r="AX50" s="46">
        <f>IF(OR($G$4="MEDIA",$G$4="BASICA - TERCER CICLO"),ROUND(((AS50*$AS$11)+(AT50*$AT$11)+(AU50*$AU$11)+(AV50*$AV$11)+(AW50*$AW$11)*100)/35%,2),ROUND((AS50*$AS$11)+(AT50*$AT$11)+(AU50*$AU$11)+(AV50*$AV$11)+(AW50*$AW$11),2))</f>
        <v>0</v>
      </c>
      <c r="AY50" s="12"/>
      <c r="AZ50" s="12"/>
      <c r="BA50" s="12"/>
      <c r="BB50" s="12"/>
      <c r="BC50" s="12"/>
      <c r="BD50" s="46">
        <f>IF(OR($G$4="MEDIA",$G$4="BASICA - TERCER CICLO"),ROUND(((AY50*$AY$11)+(AZ50*$AZ$11)+(BA50*$BA$11)+(BB50*$BB$11)+(BC50*$BC$11)*100)/35%,2),ROUND((AY50*$AY$11)+(AZ50*$AZ$11)+(BA50*$BA$11)+(BB50*$BB$11)+(BC50*$BC$11),2))</f>
        <v>0</v>
      </c>
      <c r="BE50" s="12"/>
      <c r="BF50" s="12"/>
      <c r="BG50" s="12"/>
      <c r="BH50" s="46">
        <f>IF(OR($G$4="MEDIA",$G$4="BASICA - TERCER CICLO"),ROUND(((BE50*$BE$11)+(BF50*$BF$11)+(BG50*$BG$11)*100)/30%,2),ROUND(((BE50*$BE$11)+(BF50*$BF$11)+(BG50*$BG$11)*100)/30%,2))</f>
        <v>0</v>
      </c>
      <c r="BI50" s="12"/>
      <c r="BJ50" s="14">
        <f>IF(OR($G$4="MEDIA",$G$4="BASICA - TERCER CICLO"),ROUND((BI50*$BI$11),2),ROUND((BI50*$BI$11),0))</f>
        <v>0</v>
      </c>
      <c r="BK50" s="47">
        <f>ROUND((AX50+BD50+BH50)/3,1)</f>
        <v>0</v>
      </c>
      <c r="BL50" s="12"/>
      <c r="BM50" s="12"/>
      <c r="BN50" s="12"/>
      <c r="BO50" s="12"/>
      <c r="BP50" s="12"/>
      <c r="BQ50" s="13">
        <f>IF(OR($G$4="MEDIA",$G$4="BASICA - TERCER CICLO"),ROUND(((BL50*$BL$11)+(BM50*$BM$11)+(BN50*$BN$11)+(BO50*$BO$11)+(BP50*$BP$11)*100)/35%,2),ROUND(((BL50*$BL$11)+(BM50*$BM$11)+(BN50*$BN$11)+(BO50*$BO$11)+(BP50*$BP$11)*100)/35%,2))</f>
        <v>0</v>
      </c>
      <c r="BR50" s="12"/>
      <c r="BS50" s="12"/>
      <c r="BT50" s="12"/>
      <c r="BU50" s="12"/>
      <c r="BV50" s="12"/>
      <c r="BW50" s="13">
        <f>IF(OR($G$4="MEDIA",$G$4="BASICA - TERCER CICLO"),ROUND(((BR50*$BR$11)+(BS50*$BS$11)+(BT50*$BT$11)+(BU50*$BU$11)+(BV50*$BV$11)*100)/35%,2),ROUND(((BR50*$BR$11)+(BS50*$BS$11)+(BT50*$BT$11)+(BU50*$BU$11)+(BV50*$BP$11)*100)/35%,2))</f>
        <v>0</v>
      </c>
      <c r="BX50" s="12"/>
      <c r="BY50" s="12"/>
      <c r="BZ50" s="12"/>
      <c r="CA50" s="13">
        <f>IF(OR($G$4="MEDIA",$G$4="BASICA - TERCER CICLO"),ROUND(((BX50*$BX$11)+(BY50*$BY$11)+(BZ50*$BZ$11)*100)/30%,2),ROUND(((BX50*$BX$11)+(BY50*$BY$11)+(BZ50*$BZ$11)*100)/30%,2))</f>
        <v>0</v>
      </c>
      <c r="CB50" s="12"/>
      <c r="CC50" s="14">
        <f>IF(OR($G$4="MEDIA",$G$4="BASICA - TERCER CICLO"),ROUND((CB50*$BI$11),2),ROUND((CB50*$BI$11),0))</f>
        <v>0</v>
      </c>
      <c r="CD50" s="28">
        <f>IF(OR($G$4="MEDIA",$G$4="BASICA - TERCER CICLO"),ROUND((BQ50+BW50+CA50+CC50),1),IF($G$4="BASICA",ROUND((BQ50+BW50+CA50+CC50),0),ROUND((BQ50+BW50+CA50+CC50),1)))</f>
        <v>0</v>
      </c>
      <c r="CE50" s="28">
        <f>IF($G$4 = "MEDIA",ROUND(((Y50+AR50+BK50+CD50)/4),0),ROUND(((Y50+AR50+BK50)/3),0))</f>
        <v>0</v>
      </c>
      <c r="CF50" s="21"/>
      <c r="CG50" s="28">
        <f>IF(AND(CE50&lt;5,$G$4="BASICA"),ROUND((CE50+CF50)/2,0),IF(AND(CE50&lt;6,$G$4="MEDIA"),ROUND((CE50+CF50)/2,0),CE50))</f>
        <v>0</v>
      </c>
      <c r="CH50" s="16" t="str">
        <f>IF($G$4="MEDIA",IF(CG50&gt;=6,"Aprobado","Reprobado"),IF(CG50&gt;=5,"Aprobado","Reprobado"))</f>
        <v>Reprobado</v>
      </c>
    </row>
    <row r="51" spans="1:86" customHeight="1" ht="20.25">
      <c r="A51" s="39">
        <v>39</v>
      </c>
      <c r="B51" s="2">
        <v>10493291</v>
      </c>
      <c r="C51" s="2">
        <v>5054</v>
      </c>
      <c r="D51" s="2">
        <v>26986</v>
      </c>
      <c r="E51" s="2" t="s">
        <v>76</v>
      </c>
      <c r="F51" s="40" t="s">
        <v>39</v>
      </c>
      <c r="G51" s="31"/>
      <c r="H51" s="7"/>
      <c r="I51" s="7"/>
      <c r="J51" s="7"/>
      <c r="K51" s="7"/>
      <c r="L51" s="46">
        <f>IF(OR($G$4="MEDIA",$G$4="BASICA - TERCER CICLO"),ROUND(((G51*$G$11)+(H51*$H$11)+(I51*$I$11)+(J51*$J$11)+(K51*$K$11)*100)/35%,2),ROUND((G51*$G$11)+(H51*$H$11)+(I51*$I$11)+(J51*$J$11)+(K51*$K$11),2))</f>
        <v>0</v>
      </c>
      <c r="M51" s="7"/>
      <c r="N51" s="7"/>
      <c r="O51" s="7"/>
      <c r="P51" s="7"/>
      <c r="Q51" s="7"/>
      <c r="R51" s="46">
        <f>IF(OR($G$4="MEDIA",$G$4="BASICA - TERCER CICLO"),ROUND(((M51*$M$11)+(N51*$N$11)+(O51*$O$11)+(P51*$P$11)+(Q51*$Q$11)*100)/35%,2),ROUND((M51*$M$11)+(N51*$N$11)+(O51*$O$11)+(P51*$P$11)+(Q51*$Q$11),2))</f>
        <v>0</v>
      </c>
      <c r="S51" s="7"/>
      <c r="T51" s="7"/>
      <c r="U51" s="7"/>
      <c r="V51" s="13">
        <f>IF(OR($G$4="MEDIA",$G$4="BASICA - TERCER CICLO"),ROUND(((S51*$S$11)+(T51*$T$11)+(U51*$U$11)*100)/30%,2),ROUND(((S51*$S$11)+(T51*$T$11)+(U51*$U$11)*100)/30%,2))</f>
        <v>0</v>
      </c>
      <c r="W51" s="7"/>
      <c r="X51" s="14">
        <f>IF(OR($G$4="MEDIA",$G$4="BASICA - TERCER CICLO"),ROUND((W51*$W$11),2),ROUND((W51*$W$11),0))</f>
        <v>0</v>
      </c>
      <c r="Y51" s="47">
        <f>ROUND((L51+R51+V51)/3,1)</f>
        <v>0</v>
      </c>
      <c r="Z51" s="7"/>
      <c r="AA51" s="7"/>
      <c r="AB51" s="7"/>
      <c r="AC51" s="7"/>
      <c r="AD51" s="7"/>
      <c r="AE51" s="46">
        <f>IF(OR($G$4="MEDIA",$G$4="BASICA - TERCER CICLO"),ROUND(((Z51*$Z$11)+(AA51*$AA$11)+(AB51*$AB$11)+(AC51*$AC$11)+(AD51*$AD$11)*100)/35%,2),ROUND((Z51*$Z$11)+(AA51*$AA$11)+(AB51*$AB$11)+(AC51*$AC$11)+(AD51*$AD$11),2))</f>
        <v>0</v>
      </c>
      <c r="AF51" s="7"/>
      <c r="AG51" s="7"/>
      <c r="AH51" s="7"/>
      <c r="AI51" s="7"/>
      <c r="AJ51" s="7"/>
      <c r="AK51" s="46">
        <f>IF(OR($G$4="MEDIA",$G$4="BASICA - TERCER CICLO"),ROUND(((AF51*$AF$11)+(AG51*$AG$11)+(AH51*$AH$11)+(AI51*$AI$11)+(AJ51*$AJ$11)*100)/35%,2),ROUND((AF51*$AF$11)+(AG51*$AG$11)+(AH51*$AH$11)+(AI51*$AI$11)+(AJ51*$AJ$11),2))</f>
        <v>0</v>
      </c>
      <c r="AL51" s="7"/>
      <c r="AM51" s="7"/>
      <c r="AN51" s="7"/>
      <c r="AO51" s="46">
        <f>IF(OR($G$4="MEDIA",$G$4="BASICA - TERCER CICLO"),ROUND(((AL51*$AL$11)+(AM51*$AM$11)+(AN51*$AN$11)*100)/30%,2),ROUND(((AL51*$AL$11)+(AM51*$AM$11)+(AN51*$AN$11)*100)/30%,2))</f>
        <v>0</v>
      </c>
      <c r="AP51" s="7"/>
      <c r="AQ51" s="14">
        <f>IF(OR($G$4="MEDIA",$G$4="BASICA - TERCER CICLO"),ROUND((AP51*$AP$11),2),ROUND((AP51*$AP$11),0))</f>
        <v>0</v>
      </c>
      <c r="AR51" s="47">
        <f>ROUND((AE51+AK51+AO51)/3,1)</f>
        <v>0</v>
      </c>
      <c r="AS51" s="7"/>
      <c r="AT51" s="7"/>
      <c r="AU51" s="7"/>
      <c r="AV51" s="7"/>
      <c r="AW51" s="7"/>
      <c r="AX51" s="46">
        <f>IF(OR($G$4="MEDIA",$G$4="BASICA - TERCER CICLO"),ROUND(((AS51*$AS$11)+(AT51*$AT$11)+(AU51*$AU$11)+(AV51*$AV$11)+(AW51*$AW$11)*100)/35%,2),ROUND((AS51*$AS$11)+(AT51*$AT$11)+(AU51*$AU$11)+(AV51*$AV$11)+(AW51*$AW$11),2))</f>
        <v>0</v>
      </c>
      <c r="AY51" s="7"/>
      <c r="AZ51" s="7"/>
      <c r="BA51" s="7"/>
      <c r="BB51" s="7"/>
      <c r="BC51" s="7"/>
      <c r="BD51" s="46">
        <f>IF(OR($G$4="MEDIA",$G$4="BASICA - TERCER CICLO"),ROUND(((AY51*$AY$11)+(AZ51*$AZ$11)+(BA51*$BA$11)+(BB51*$BB$11)+(BC51*$BC$11)*100)/35%,2),ROUND((AY51*$AY$11)+(AZ51*$AZ$11)+(BA51*$BA$11)+(BB51*$BB$11)+(BC51*$BC$11),2))</f>
        <v>0</v>
      </c>
      <c r="BE51" s="7"/>
      <c r="BF51" s="7"/>
      <c r="BG51" s="7"/>
      <c r="BH51" s="46">
        <f>IF(OR($G$4="MEDIA",$G$4="BASICA - TERCER CICLO"),ROUND(((BE51*$BE$11)+(BF51*$BF$11)+(BG51*$BG$11)*100)/30%,2),ROUND(((BE51*$BE$11)+(BF51*$BF$11)+(BG51*$BG$11)*100)/30%,2))</f>
        <v>0</v>
      </c>
      <c r="BI51" s="7"/>
      <c r="BJ51" s="14">
        <f>IF(OR($G$4="MEDIA",$G$4="BASICA - TERCER CICLO"),ROUND((BI51*$BI$11),2),ROUND((BI51*$BI$11),0))</f>
        <v>0</v>
      </c>
      <c r="BK51" s="47">
        <f>ROUND((AX51+BD51+BH51)/3,1)</f>
        <v>0</v>
      </c>
      <c r="BL51" s="7"/>
      <c r="BM51" s="7"/>
      <c r="BN51" s="7"/>
      <c r="BO51" s="7"/>
      <c r="BP51" s="7"/>
      <c r="BQ51" s="13">
        <f>IF(OR($G$4="MEDIA",$G$4="BASICA - TERCER CICLO"),ROUND(((BL51*$BL$11)+(BM51*$BM$11)+(BN51*$BN$11)+(BO51*$BO$11)+(BP51*$BP$11)*100)/35%,2),ROUND(((BL51*$BL$11)+(BM51*$BM$11)+(BN51*$BN$11)+(BO51*$BO$11)+(BP51*$BP$11)*100)/35%,2))</f>
        <v>0</v>
      </c>
      <c r="BR51" s="7"/>
      <c r="BS51" s="7"/>
      <c r="BT51" s="7"/>
      <c r="BU51" s="7"/>
      <c r="BV51" s="7"/>
      <c r="BW51" s="13">
        <f>IF(OR($G$4="MEDIA",$G$4="BASICA - TERCER CICLO"),ROUND(((BR51*$BR$11)+(BS51*$BS$11)+(BT51*$BT$11)+(BU51*$BU$11)+(BV51*$BV$11)*100)/35%,2),ROUND(((BR51*$BR$11)+(BS51*$BS$11)+(BT51*$BT$11)+(BU51*$BU$11)+(BV51*$BP$11)*100)/35%,2))</f>
        <v>0</v>
      </c>
      <c r="BX51" s="7"/>
      <c r="BY51" s="7"/>
      <c r="BZ51" s="7"/>
      <c r="CA51" s="13">
        <f>IF(OR($G$4="MEDIA",$G$4="BASICA - TERCER CICLO"),ROUND(((BX51*$BX$11)+(BY51*$BY$11)+(BZ51*$BZ$11)*100)/30%,2),ROUND(((BX51*$BX$11)+(BY51*$BY$11)+(BZ51*$BZ$11)*100)/30%,2))</f>
        <v>0</v>
      </c>
      <c r="CB51" s="7"/>
      <c r="CC51" s="14">
        <f>IF(OR($G$4="MEDIA",$G$4="BASICA - TERCER CICLO"),ROUND((CB51*$BI$11),2),ROUND((CB51*$BI$11),0))</f>
        <v>0</v>
      </c>
      <c r="CD51" s="28">
        <f>IF(OR($G$4="MEDIA",$G$4="BASICA - TERCER CICLO"),ROUND((BQ51+BW51+CA51+CC51),1),IF($G$4="BASICA",ROUND((BQ51+BW51+CA51+CC51),0),ROUND((BQ51+BW51+CA51+CC51),1)))</f>
        <v>0</v>
      </c>
      <c r="CE51" s="28">
        <f>IF($G$4 = "MEDIA",ROUND(((Y51+AR51+BK51+CD51)/4),0),ROUND(((Y51+AR51+BK51)/3),0))</f>
        <v>0</v>
      </c>
      <c r="CF51" s="20"/>
      <c r="CG51" s="28">
        <f>IF(AND(CE51&lt;5,$G$4="BASICA"),ROUND((CE51+CF51)/2,0),IF(AND(CE51&lt;6,$G$4="MEDIA"),ROUND((CE51+CF51)/2,0),CE51))</f>
        <v>0</v>
      </c>
      <c r="CH51" s="17" t="str">
        <f>IF($G$4="MEDIA",IF(CG51&gt;=6,"Aprobado","Reprobado"),IF(CG51&gt;=5,"Aprobado","Reprobado"))</f>
        <v>Reprobado</v>
      </c>
    </row>
    <row r="52" spans="1:86" customHeight="1" ht="20.25">
      <c r="A52" s="41">
        <v>40</v>
      </c>
      <c r="B52" s="3">
        <v>10123153</v>
      </c>
      <c r="C52" s="3">
        <v>4648</v>
      </c>
      <c r="D52" s="3">
        <v>26987</v>
      </c>
      <c r="E52" s="3" t="s">
        <v>77</v>
      </c>
      <c r="F52" s="42" t="s">
        <v>39</v>
      </c>
      <c r="G52" s="32"/>
      <c r="H52" s="12"/>
      <c r="I52" s="12"/>
      <c r="J52" s="12"/>
      <c r="K52" s="12"/>
      <c r="L52" s="46">
        <f>IF(OR($G$4="MEDIA",$G$4="BASICA - TERCER CICLO"),ROUND(((G52*$G$11)+(H52*$H$11)+(I52*$I$11)+(J52*$J$11)+(K52*$K$11)*100)/35%,2),ROUND((G52*$G$11)+(H52*$H$11)+(I52*$I$11)+(J52*$J$11)+(K52*$K$11),2))</f>
        <v>0</v>
      </c>
      <c r="M52" s="12"/>
      <c r="N52" s="12"/>
      <c r="O52" s="12"/>
      <c r="P52" s="12"/>
      <c r="Q52" s="12"/>
      <c r="R52" s="46">
        <f>IF(OR($G$4="MEDIA",$G$4="BASICA - TERCER CICLO"),ROUND(((M52*$M$11)+(N52*$N$11)+(O52*$O$11)+(P52*$P$11)+(Q52*$Q$11)*100)/35%,2),ROUND((M52*$M$11)+(N52*$N$11)+(O52*$O$11)+(P52*$P$11)+(Q52*$Q$11),2))</f>
        <v>0</v>
      </c>
      <c r="S52" s="12"/>
      <c r="T52" s="12"/>
      <c r="U52" s="12"/>
      <c r="V52" s="13">
        <f>IF(OR($G$4="MEDIA",$G$4="BASICA - TERCER CICLO"),ROUND(((S52*$S$11)+(T52*$T$11)+(U52*$U$11)*100)/30%,2),ROUND(((S52*$S$11)+(T52*$T$11)+(U52*$U$11)*100)/30%,2))</f>
        <v>0</v>
      </c>
      <c r="W52" s="12"/>
      <c r="X52" s="14">
        <f>IF(OR($G$4="MEDIA",$G$4="BASICA - TERCER CICLO"),ROUND((W52*$W$11),2),ROUND((W52*$W$11),0))</f>
        <v>0</v>
      </c>
      <c r="Y52" s="47">
        <f>ROUND((L52+R52+V52)/3,1)</f>
        <v>0</v>
      </c>
      <c r="Z52" s="12"/>
      <c r="AA52" s="12"/>
      <c r="AB52" s="12"/>
      <c r="AC52" s="12"/>
      <c r="AD52" s="12"/>
      <c r="AE52" s="46">
        <f>IF(OR($G$4="MEDIA",$G$4="BASICA - TERCER CICLO"),ROUND(((Z52*$Z$11)+(AA52*$AA$11)+(AB52*$AB$11)+(AC52*$AC$11)+(AD52*$AD$11)*100)/35%,2),ROUND((Z52*$Z$11)+(AA52*$AA$11)+(AB52*$AB$11)+(AC52*$AC$11)+(AD52*$AD$11),2))</f>
        <v>0</v>
      </c>
      <c r="AF52" s="12"/>
      <c r="AG52" s="12"/>
      <c r="AH52" s="12"/>
      <c r="AI52" s="12"/>
      <c r="AJ52" s="12"/>
      <c r="AK52" s="46">
        <f>IF(OR($G$4="MEDIA",$G$4="BASICA - TERCER CICLO"),ROUND(((AF52*$AF$11)+(AG52*$AG$11)+(AH52*$AH$11)+(AI52*$AI$11)+(AJ52*$AJ$11)*100)/35%,2),ROUND((AF52*$AF$11)+(AG52*$AG$11)+(AH52*$AH$11)+(AI52*$AI$11)+(AJ52*$AJ$11),2))</f>
        <v>0</v>
      </c>
      <c r="AL52" s="12"/>
      <c r="AM52" s="12"/>
      <c r="AN52" s="12"/>
      <c r="AO52" s="46">
        <f>IF(OR($G$4="MEDIA",$G$4="BASICA - TERCER CICLO"),ROUND(((AL52*$AL$11)+(AM52*$AM$11)+(AN52*$AN$11)*100)/30%,2),ROUND(((AL52*$AL$11)+(AM52*$AM$11)+(AN52*$AN$11)*100)/30%,2))</f>
        <v>0</v>
      </c>
      <c r="AP52" s="12"/>
      <c r="AQ52" s="14">
        <f>IF(OR($G$4="MEDIA",$G$4="BASICA - TERCER CICLO"),ROUND((AP52*$AP$11),2),ROUND((AP52*$AP$11),0))</f>
        <v>0</v>
      </c>
      <c r="AR52" s="47">
        <f>ROUND((AE52+AK52+AO52)/3,1)</f>
        <v>0</v>
      </c>
      <c r="AS52" s="12"/>
      <c r="AT52" s="12"/>
      <c r="AU52" s="12"/>
      <c r="AV52" s="12"/>
      <c r="AW52" s="12"/>
      <c r="AX52" s="46">
        <f>IF(OR($G$4="MEDIA",$G$4="BASICA - TERCER CICLO"),ROUND(((AS52*$AS$11)+(AT52*$AT$11)+(AU52*$AU$11)+(AV52*$AV$11)+(AW52*$AW$11)*100)/35%,2),ROUND((AS52*$AS$11)+(AT52*$AT$11)+(AU52*$AU$11)+(AV52*$AV$11)+(AW52*$AW$11),2))</f>
        <v>0</v>
      </c>
      <c r="AY52" s="12"/>
      <c r="AZ52" s="12"/>
      <c r="BA52" s="12"/>
      <c r="BB52" s="12"/>
      <c r="BC52" s="12"/>
      <c r="BD52" s="46">
        <f>IF(OR($G$4="MEDIA",$G$4="BASICA - TERCER CICLO"),ROUND(((AY52*$AY$11)+(AZ52*$AZ$11)+(BA52*$BA$11)+(BB52*$BB$11)+(BC52*$BC$11)*100)/35%,2),ROUND((AY52*$AY$11)+(AZ52*$AZ$11)+(BA52*$BA$11)+(BB52*$BB$11)+(BC52*$BC$11),2))</f>
        <v>0</v>
      </c>
      <c r="BE52" s="12"/>
      <c r="BF52" s="12"/>
      <c r="BG52" s="12"/>
      <c r="BH52" s="46">
        <f>IF(OR($G$4="MEDIA",$G$4="BASICA - TERCER CICLO"),ROUND(((BE52*$BE$11)+(BF52*$BF$11)+(BG52*$BG$11)*100)/30%,2),ROUND(((BE52*$BE$11)+(BF52*$BF$11)+(BG52*$BG$11)*100)/30%,2))</f>
        <v>0</v>
      </c>
      <c r="BI52" s="12"/>
      <c r="BJ52" s="14">
        <f>IF(OR($G$4="MEDIA",$G$4="BASICA - TERCER CICLO"),ROUND((BI52*$BI$11),2),ROUND((BI52*$BI$11),0))</f>
        <v>0</v>
      </c>
      <c r="BK52" s="47">
        <f>ROUND((AX52+BD52+BH52)/3,1)</f>
        <v>0</v>
      </c>
      <c r="BL52" s="12"/>
      <c r="BM52" s="12"/>
      <c r="BN52" s="12"/>
      <c r="BO52" s="12"/>
      <c r="BP52" s="12"/>
      <c r="BQ52" s="13">
        <f>IF(OR($G$4="MEDIA",$G$4="BASICA - TERCER CICLO"),ROUND(((BL52*$BL$11)+(BM52*$BM$11)+(BN52*$BN$11)+(BO52*$BO$11)+(BP52*$BP$11)*100)/35%,2),ROUND(((BL52*$BL$11)+(BM52*$BM$11)+(BN52*$BN$11)+(BO52*$BO$11)+(BP52*$BP$11)*100)/35%,2))</f>
        <v>0</v>
      </c>
      <c r="BR52" s="12"/>
      <c r="BS52" s="12"/>
      <c r="BT52" s="12"/>
      <c r="BU52" s="12"/>
      <c r="BV52" s="12"/>
      <c r="BW52" s="13">
        <f>IF(OR($G$4="MEDIA",$G$4="BASICA - TERCER CICLO"),ROUND(((BR52*$BR$11)+(BS52*$BS$11)+(BT52*$BT$11)+(BU52*$BU$11)+(BV52*$BV$11)*100)/35%,2),ROUND(((BR52*$BR$11)+(BS52*$BS$11)+(BT52*$BT$11)+(BU52*$BU$11)+(BV52*$BP$11)*100)/35%,2))</f>
        <v>0</v>
      </c>
      <c r="BX52" s="12"/>
      <c r="BY52" s="12"/>
      <c r="BZ52" s="12"/>
      <c r="CA52" s="13">
        <f>IF(OR($G$4="MEDIA",$G$4="BASICA - TERCER CICLO"),ROUND(((BX52*$BX$11)+(BY52*$BY$11)+(BZ52*$BZ$11)*100)/30%,2),ROUND(((BX52*$BX$11)+(BY52*$BY$11)+(BZ52*$BZ$11)*100)/30%,2))</f>
        <v>0</v>
      </c>
      <c r="CB52" s="12"/>
      <c r="CC52" s="14">
        <f>IF(OR($G$4="MEDIA",$G$4="BASICA - TERCER CICLO"),ROUND((CB52*$BI$11),2),ROUND((CB52*$BI$11),0))</f>
        <v>0</v>
      </c>
      <c r="CD52" s="28">
        <f>IF(OR($G$4="MEDIA",$G$4="BASICA - TERCER CICLO"),ROUND((BQ52+BW52+CA52+CC52),1),IF($G$4="BASICA",ROUND((BQ52+BW52+CA52+CC52),0),ROUND((BQ52+BW52+CA52+CC52),1)))</f>
        <v>0</v>
      </c>
      <c r="CE52" s="28">
        <f>IF($G$4 = "MEDIA",ROUND(((Y52+AR52+BK52+CD52)/4),0),ROUND(((Y52+AR52+BK52)/3),0))</f>
        <v>0</v>
      </c>
      <c r="CF52" s="21"/>
      <c r="CG52" s="28">
        <f>IF(AND(CE52&lt;5,$G$4="BASICA"),ROUND((CE52+CF52)/2,0),IF(AND(CE52&lt;6,$G$4="MEDIA"),ROUND((CE52+CF52)/2,0),CE52))</f>
        <v>0</v>
      </c>
      <c r="CH52" s="16" t="str">
        <f>IF($G$4="MEDIA",IF(CG52&gt;=6,"Aprobado","Reprobado"),IF(CG52&gt;=5,"Aprobado","Reprobado"))</f>
        <v>Reprobado</v>
      </c>
    </row>
    <row r="53" spans="1:86" customHeight="1" ht="20.25">
      <c r="A53" s="39">
        <v>41</v>
      </c>
      <c r="B53" s="2">
        <v>10522945</v>
      </c>
      <c r="C53" s="2">
        <v>4684</v>
      </c>
      <c r="D53" s="2">
        <v>26988</v>
      </c>
      <c r="E53" s="2" t="s">
        <v>78</v>
      </c>
      <c r="F53" s="40" t="s">
        <v>37</v>
      </c>
      <c r="G53" s="31"/>
      <c r="H53" s="7"/>
      <c r="I53" s="7"/>
      <c r="J53" s="7"/>
      <c r="K53" s="7"/>
      <c r="L53" s="46">
        <f>IF(OR($G$4="MEDIA",$G$4="BASICA - TERCER CICLO"),ROUND(((G53*$G$11)+(H53*$H$11)+(I53*$I$11)+(J53*$J$11)+(K53*$K$11)*100)/35%,2),ROUND((G53*$G$11)+(H53*$H$11)+(I53*$I$11)+(J53*$J$11)+(K53*$K$11),2))</f>
        <v>0</v>
      </c>
      <c r="M53" s="7"/>
      <c r="N53" s="7"/>
      <c r="O53" s="7"/>
      <c r="P53" s="7"/>
      <c r="Q53" s="7"/>
      <c r="R53" s="46">
        <f>IF(OR($G$4="MEDIA",$G$4="BASICA - TERCER CICLO"),ROUND(((M53*$M$11)+(N53*$N$11)+(O53*$O$11)+(P53*$P$11)+(Q53*$Q$11)*100)/35%,2),ROUND((M53*$M$11)+(N53*$N$11)+(O53*$O$11)+(P53*$P$11)+(Q53*$Q$11),2))</f>
        <v>0</v>
      </c>
      <c r="S53" s="7"/>
      <c r="T53" s="7"/>
      <c r="U53" s="7"/>
      <c r="V53" s="13">
        <f>IF(OR($G$4="MEDIA",$G$4="BASICA - TERCER CICLO"),ROUND(((S53*$S$11)+(T53*$T$11)+(U53*$U$11)*100)/30%,2),ROUND(((S53*$S$11)+(T53*$T$11)+(U53*$U$11)*100)/30%,2))</f>
        <v>0</v>
      </c>
      <c r="W53" s="7"/>
      <c r="X53" s="14">
        <f>IF(OR($G$4="MEDIA",$G$4="BASICA - TERCER CICLO"),ROUND((W53*$W$11),2),ROUND((W53*$W$11),0))</f>
        <v>0</v>
      </c>
      <c r="Y53" s="47">
        <f>ROUND((L53+R53+V53)/3,1)</f>
        <v>0</v>
      </c>
      <c r="Z53" s="7"/>
      <c r="AA53" s="7"/>
      <c r="AB53" s="7"/>
      <c r="AC53" s="7"/>
      <c r="AD53" s="7"/>
      <c r="AE53" s="46">
        <f>IF(OR($G$4="MEDIA",$G$4="BASICA - TERCER CICLO"),ROUND(((Z53*$Z$11)+(AA53*$AA$11)+(AB53*$AB$11)+(AC53*$AC$11)+(AD53*$AD$11)*100)/35%,2),ROUND((Z53*$Z$11)+(AA53*$AA$11)+(AB53*$AB$11)+(AC53*$AC$11)+(AD53*$AD$11),2))</f>
        <v>0</v>
      </c>
      <c r="AF53" s="7"/>
      <c r="AG53" s="7"/>
      <c r="AH53" s="7"/>
      <c r="AI53" s="7"/>
      <c r="AJ53" s="7"/>
      <c r="AK53" s="46">
        <f>IF(OR($G$4="MEDIA",$G$4="BASICA - TERCER CICLO"),ROUND(((AF53*$AF$11)+(AG53*$AG$11)+(AH53*$AH$11)+(AI53*$AI$11)+(AJ53*$AJ$11)*100)/35%,2),ROUND((AF53*$AF$11)+(AG53*$AG$11)+(AH53*$AH$11)+(AI53*$AI$11)+(AJ53*$AJ$11),2))</f>
        <v>0</v>
      </c>
      <c r="AL53" s="7"/>
      <c r="AM53" s="7"/>
      <c r="AN53" s="7"/>
      <c r="AO53" s="46">
        <f>IF(OR($G$4="MEDIA",$G$4="BASICA - TERCER CICLO"),ROUND(((AL53*$AL$11)+(AM53*$AM$11)+(AN53*$AN$11)*100)/30%,2),ROUND(((AL53*$AL$11)+(AM53*$AM$11)+(AN53*$AN$11)*100)/30%,2))</f>
        <v>0</v>
      </c>
      <c r="AP53" s="7"/>
      <c r="AQ53" s="14">
        <f>IF(OR($G$4="MEDIA",$G$4="BASICA - TERCER CICLO"),ROUND((AP53*$AP$11),2),ROUND((AP53*$AP$11),0))</f>
        <v>0</v>
      </c>
      <c r="AR53" s="47">
        <f>ROUND((AE53+AK53+AO53)/3,1)</f>
        <v>0</v>
      </c>
      <c r="AS53" s="7"/>
      <c r="AT53" s="7"/>
      <c r="AU53" s="7"/>
      <c r="AV53" s="7"/>
      <c r="AW53" s="7"/>
      <c r="AX53" s="46">
        <f>IF(OR($G$4="MEDIA",$G$4="BASICA - TERCER CICLO"),ROUND(((AS53*$AS$11)+(AT53*$AT$11)+(AU53*$AU$11)+(AV53*$AV$11)+(AW53*$AW$11)*100)/35%,2),ROUND((AS53*$AS$11)+(AT53*$AT$11)+(AU53*$AU$11)+(AV53*$AV$11)+(AW53*$AW$11),2))</f>
        <v>0</v>
      </c>
      <c r="AY53" s="7"/>
      <c r="AZ53" s="7"/>
      <c r="BA53" s="7"/>
      <c r="BB53" s="7"/>
      <c r="BC53" s="7"/>
      <c r="BD53" s="46">
        <f>IF(OR($G$4="MEDIA",$G$4="BASICA - TERCER CICLO"),ROUND(((AY53*$AY$11)+(AZ53*$AZ$11)+(BA53*$BA$11)+(BB53*$BB$11)+(BC53*$BC$11)*100)/35%,2),ROUND((AY53*$AY$11)+(AZ53*$AZ$11)+(BA53*$BA$11)+(BB53*$BB$11)+(BC53*$BC$11),2))</f>
        <v>0</v>
      </c>
      <c r="BE53" s="7"/>
      <c r="BF53" s="7"/>
      <c r="BG53" s="7"/>
      <c r="BH53" s="46">
        <f>IF(OR($G$4="MEDIA",$G$4="BASICA - TERCER CICLO"),ROUND(((BE53*$BE$11)+(BF53*$BF$11)+(BG53*$BG$11)*100)/30%,2),ROUND(((BE53*$BE$11)+(BF53*$BF$11)+(BG53*$BG$11)*100)/30%,2))</f>
        <v>0</v>
      </c>
      <c r="BI53" s="7"/>
      <c r="BJ53" s="14">
        <f>IF(OR($G$4="MEDIA",$G$4="BASICA - TERCER CICLO"),ROUND((BI53*$BI$11),2),ROUND((BI53*$BI$11),0))</f>
        <v>0</v>
      </c>
      <c r="BK53" s="47">
        <f>ROUND((AX53+BD53+BH53)/3,1)</f>
        <v>0</v>
      </c>
      <c r="BL53" s="7"/>
      <c r="BM53" s="7"/>
      <c r="BN53" s="7"/>
      <c r="BO53" s="7"/>
      <c r="BP53" s="7"/>
      <c r="BQ53" s="13">
        <f>IF(OR($G$4="MEDIA",$G$4="BASICA - TERCER CICLO"),ROUND(((BL53*$BL$11)+(BM53*$BM$11)+(BN53*$BN$11)+(BO53*$BO$11)+(BP53*$BP$11)*100)/35%,2),ROUND(((BL53*$BL$11)+(BM53*$BM$11)+(BN53*$BN$11)+(BO53*$BO$11)+(BP53*$BP$11)*100)/35%,2))</f>
        <v>0</v>
      </c>
      <c r="BR53" s="7"/>
      <c r="BS53" s="7"/>
      <c r="BT53" s="7"/>
      <c r="BU53" s="7"/>
      <c r="BV53" s="7"/>
      <c r="BW53" s="13">
        <f>IF(OR($G$4="MEDIA",$G$4="BASICA - TERCER CICLO"),ROUND(((BR53*$BR$11)+(BS53*$BS$11)+(BT53*$BT$11)+(BU53*$BU$11)+(BV53*$BV$11)*100)/35%,2),ROUND(((BR53*$BR$11)+(BS53*$BS$11)+(BT53*$BT$11)+(BU53*$BU$11)+(BV53*$BP$11)*100)/35%,2))</f>
        <v>0</v>
      </c>
      <c r="BX53" s="7"/>
      <c r="BY53" s="7"/>
      <c r="BZ53" s="7"/>
      <c r="CA53" s="13">
        <f>IF(OR($G$4="MEDIA",$G$4="BASICA - TERCER CICLO"),ROUND(((BX53*$BX$11)+(BY53*$BY$11)+(BZ53*$BZ$11)*100)/30%,2),ROUND(((BX53*$BX$11)+(BY53*$BY$11)+(BZ53*$BZ$11)*100)/30%,2))</f>
        <v>0</v>
      </c>
      <c r="CB53" s="7"/>
      <c r="CC53" s="14">
        <f>IF(OR($G$4="MEDIA",$G$4="BASICA - TERCER CICLO"),ROUND((CB53*$BI$11),2),ROUND((CB53*$BI$11),0))</f>
        <v>0</v>
      </c>
      <c r="CD53" s="28">
        <f>IF(OR($G$4="MEDIA",$G$4="BASICA - TERCER CICLO"),ROUND((BQ53+BW53+CA53+CC53),1),IF($G$4="BASICA",ROUND((BQ53+BW53+CA53+CC53),0),ROUND((BQ53+BW53+CA53+CC53),1)))</f>
        <v>0</v>
      </c>
      <c r="CE53" s="28">
        <f>IF($G$4 = "MEDIA",ROUND(((Y53+AR53+BK53+CD53)/4),0),ROUND(((Y53+AR53+BK53)/3),0))</f>
        <v>0</v>
      </c>
      <c r="CF53" s="20"/>
      <c r="CG53" s="28">
        <f>IF(AND(CE53&lt;5,$G$4="BASICA"),ROUND((CE53+CF53)/2,0),IF(AND(CE53&lt;6,$G$4="MEDIA"),ROUND((CE53+CF53)/2,0),CE53))</f>
        <v>0</v>
      </c>
      <c r="CH53" s="17" t="str">
        <f>IF($G$4="MEDIA",IF(CG53&gt;=6,"Aprobado","Reprobado"),IF(CG53&gt;=5,"Aprobado","Reprobado"))</f>
        <v>Reprobado</v>
      </c>
    </row>
    <row r="54" spans="1:86" customHeight="1" ht="20.25">
      <c r="A54" s="41">
        <v>42</v>
      </c>
      <c r="B54" s="3">
        <v>10521389</v>
      </c>
      <c r="C54" s="3">
        <v>5099</v>
      </c>
      <c r="D54" s="3">
        <v>26966</v>
      </c>
      <c r="E54" s="3" t="s">
        <v>79</v>
      </c>
      <c r="F54" s="42" t="s">
        <v>39</v>
      </c>
      <c r="G54" s="32"/>
      <c r="H54" s="12"/>
      <c r="I54" s="12"/>
      <c r="J54" s="12"/>
      <c r="K54" s="12"/>
      <c r="L54" s="46">
        <f>IF(OR($G$4="MEDIA",$G$4="BASICA - TERCER CICLO"),ROUND(((G54*$G$11)+(H54*$H$11)+(I54*$I$11)+(J54*$J$11)+(K54*$K$11)*100)/35%,2),ROUND((G54*$G$11)+(H54*$H$11)+(I54*$I$11)+(J54*$J$11)+(K54*$K$11),2))</f>
        <v>0</v>
      </c>
      <c r="M54" s="12"/>
      <c r="N54" s="12"/>
      <c r="O54" s="12"/>
      <c r="P54" s="12"/>
      <c r="Q54" s="12"/>
      <c r="R54" s="46">
        <f>IF(OR($G$4="MEDIA",$G$4="BASICA - TERCER CICLO"),ROUND(((M54*$M$11)+(N54*$N$11)+(O54*$O$11)+(P54*$P$11)+(Q54*$Q$11)*100)/35%,2),ROUND((M54*$M$11)+(N54*$N$11)+(O54*$O$11)+(P54*$P$11)+(Q54*$Q$11),2))</f>
        <v>0</v>
      </c>
      <c r="S54" s="12"/>
      <c r="T54" s="12"/>
      <c r="U54" s="12"/>
      <c r="V54" s="13">
        <f>IF(OR($G$4="MEDIA",$G$4="BASICA - TERCER CICLO"),ROUND(((S54*$S$11)+(T54*$T$11)+(U54*$U$11)*100)/30%,2),ROUND(((S54*$S$11)+(T54*$T$11)+(U54*$U$11)*100)/30%,2))</f>
        <v>0</v>
      </c>
      <c r="W54" s="12"/>
      <c r="X54" s="14">
        <f>IF(OR($G$4="MEDIA",$G$4="BASICA - TERCER CICLO"),ROUND((W54*$W$11),2),ROUND((W54*$W$11),0))</f>
        <v>0</v>
      </c>
      <c r="Y54" s="47">
        <f>ROUND((L54+R54+V54)/3,1)</f>
        <v>0</v>
      </c>
      <c r="Z54" s="12"/>
      <c r="AA54" s="12"/>
      <c r="AB54" s="12"/>
      <c r="AC54" s="12"/>
      <c r="AD54" s="12"/>
      <c r="AE54" s="46">
        <f>IF(OR($G$4="MEDIA",$G$4="BASICA - TERCER CICLO"),ROUND(((Z54*$Z$11)+(AA54*$AA$11)+(AB54*$AB$11)+(AC54*$AC$11)+(AD54*$AD$11)*100)/35%,2),ROUND((Z54*$Z$11)+(AA54*$AA$11)+(AB54*$AB$11)+(AC54*$AC$11)+(AD54*$AD$11),2))</f>
        <v>0</v>
      </c>
      <c r="AF54" s="12"/>
      <c r="AG54" s="12"/>
      <c r="AH54" s="12"/>
      <c r="AI54" s="12"/>
      <c r="AJ54" s="12"/>
      <c r="AK54" s="46">
        <f>IF(OR($G$4="MEDIA",$G$4="BASICA - TERCER CICLO"),ROUND(((AF54*$AF$11)+(AG54*$AG$11)+(AH54*$AH$11)+(AI54*$AI$11)+(AJ54*$AJ$11)*100)/35%,2),ROUND((AF54*$AF$11)+(AG54*$AG$11)+(AH54*$AH$11)+(AI54*$AI$11)+(AJ54*$AJ$11),2))</f>
        <v>0</v>
      </c>
      <c r="AL54" s="12"/>
      <c r="AM54" s="12"/>
      <c r="AN54" s="12"/>
      <c r="AO54" s="46">
        <f>IF(OR($G$4="MEDIA",$G$4="BASICA - TERCER CICLO"),ROUND(((AL54*$AL$11)+(AM54*$AM$11)+(AN54*$AN$11)*100)/30%,2),ROUND(((AL54*$AL$11)+(AM54*$AM$11)+(AN54*$AN$11)*100)/30%,2))</f>
        <v>0</v>
      </c>
      <c r="AP54" s="12"/>
      <c r="AQ54" s="14">
        <f>IF(OR($G$4="MEDIA",$G$4="BASICA - TERCER CICLO"),ROUND((AP54*$AP$11),2),ROUND((AP54*$AP$11),0))</f>
        <v>0</v>
      </c>
      <c r="AR54" s="47">
        <f>ROUND((AE54+AK54+AO54)/3,1)</f>
        <v>0</v>
      </c>
      <c r="AS54" s="12"/>
      <c r="AT54" s="12"/>
      <c r="AU54" s="12"/>
      <c r="AV54" s="12"/>
      <c r="AW54" s="12"/>
      <c r="AX54" s="46">
        <f>IF(OR($G$4="MEDIA",$G$4="BASICA - TERCER CICLO"),ROUND(((AS54*$AS$11)+(AT54*$AT$11)+(AU54*$AU$11)+(AV54*$AV$11)+(AW54*$AW$11)*100)/35%,2),ROUND((AS54*$AS$11)+(AT54*$AT$11)+(AU54*$AU$11)+(AV54*$AV$11)+(AW54*$AW$11),2))</f>
        <v>0</v>
      </c>
      <c r="AY54" s="12"/>
      <c r="AZ54" s="12"/>
      <c r="BA54" s="12"/>
      <c r="BB54" s="12"/>
      <c r="BC54" s="12"/>
      <c r="BD54" s="46">
        <f>IF(OR($G$4="MEDIA",$G$4="BASICA - TERCER CICLO"),ROUND(((AY54*$AY$11)+(AZ54*$AZ$11)+(BA54*$BA$11)+(BB54*$BB$11)+(BC54*$BC$11)*100)/35%,2),ROUND((AY54*$AY$11)+(AZ54*$AZ$11)+(BA54*$BA$11)+(BB54*$BB$11)+(BC54*$BC$11),2))</f>
        <v>0</v>
      </c>
      <c r="BE54" s="12"/>
      <c r="BF54" s="12"/>
      <c r="BG54" s="12"/>
      <c r="BH54" s="46">
        <f>IF(OR($G$4="MEDIA",$G$4="BASICA - TERCER CICLO"),ROUND(((BE54*$BE$11)+(BF54*$BF$11)+(BG54*$BG$11)*100)/30%,2),ROUND(((BE54*$BE$11)+(BF54*$BF$11)+(BG54*$BG$11)*100)/30%,2))</f>
        <v>0</v>
      </c>
      <c r="BI54" s="12"/>
      <c r="BJ54" s="14">
        <f>IF(OR($G$4="MEDIA",$G$4="BASICA - TERCER CICLO"),ROUND((BI54*$BI$11),2),ROUND((BI54*$BI$11),0))</f>
        <v>0</v>
      </c>
      <c r="BK54" s="47">
        <f>ROUND((AX54+BD54+BH54)/3,1)</f>
        <v>0</v>
      </c>
      <c r="BL54" s="12"/>
      <c r="BM54" s="12"/>
      <c r="BN54" s="12"/>
      <c r="BO54" s="12"/>
      <c r="BP54" s="12"/>
      <c r="BQ54" s="13">
        <f>IF(OR($G$4="MEDIA",$G$4="BASICA - TERCER CICLO"),ROUND(((BL54*$BL$11)+(BM54*$BM$11)+(BN54*$BN$11)+(BO54*$BO$11)+(BP54*$BP$11)*100)/35%,2),ROUND(((BL54*$BL$11)+(BM54*$BM$11)+(BN54*$BN$11)+(BO54*$BO$11)+(BP54*$BP$11)*100)/35%,2))</f>
        <v>0</v>
      </c>
      <c r="BR54" s="12"/>
      <c r="BS54" s="12"/>
      <c r="BT54" s="12"/>
      <c r="BU54" s="12"/>
      <c r="BV54" s="12"/>
      <c r="BW54" s="13">
        <f>IF(OR($G$4="MEDIA",$G$4="BASICA - TERCER CICLO"),ROUND(((BR54*$BR$11)+(BS54*$BS$11)+(BT54*$BT$11)+(BU54*$BU$11)+(BV54*$BV$11)*100)/35%,2),ROUND(((BR54*$BR$11)+(BS54*$BS$11)+(BT54*$BT$11)+(BU54*$BU$11)+(BV54*$BP$11)*100)/35%,2))</f>
        <v>0</v>
      </c>
      <c r="BX54" s="12"/>
      <c r="BY54" s="12"/>
      <c r="BZ54" s="12"/>
      <c r="CA54" s="13">
        <f>IF(OR($G$4="MEDIA",$G$4="BASICA - TERCER CICLO"),ROUND(((BX54*$BX$11)+(BY54*$BY$11)+(BZ54*$BZ$11)*100)/30%,2),ROUND(((BX54*$BX$11)+(BY54*$BY$11)+(BZ54*$BZ$11)*100)/30%,2))</f>
        <v>0</v>
      </c>
      <c r="CB54" s="12"/>
      <c r="CC54" s="14">
        <f>IF(OR($G$4="MEDIA",$G$4="BASICA - TERCER CICLO"),ROUND((CB54*$BI$11),2),ROUND((CB54*$BI$11),0))</f>
        <v>0</v>
      </c>
      <c r="CD54" s="28">
        <f>IF(OR($G$4="MEDIA",$G$4="BASICA - TERCER CICLO"),ROUND((BQ54+BW54+CA54+CC54),1),IF($G$4="BASICA",ROUND((BQ54+BW54+CA54+CC54),0),ROUND((BQ54+BW54+CA54+CC54),1)))</f>
        <v>0</v>
      </c>
      <c r="CE54" s="28">
        <f>IF($G$4 = "MEDIA",ROUND(((Y54+AR54+BK54+CD54)/4),0),ROUND(((Y54+AR54+BK54)/3),0))</f>
        <v>0</v>
      </c>
      <c r="CF54" s="21"/>
      <c r="CG54" s="28">
        <f>IF(AND(CE54&lt;5,$G$4="BASICA"),ROUND((CE54+CF54)/2,0),IF(AND(CE54&lt;6,$G$4="MEDIA"),ROUND((CE54+CF54)/2,0),CE54))</f>
        <v>0</v>
      </c>
      <c r="CH54" s="16" t="str">
        <f>IF($G$4="MEDIA",IF(CG54&gt;=6,"Aprobado","Reprobado"),IF(CG54&gt;=5,"Aprobado","Reprobado"))</f>
        <v>Reprobado</v>
      </c>
    </row>
    <row r="55" spans="1:86" customHeight="1" ht="20.25">
      <c r="A55" s="39">
        <v>43</v>
      </c>
      <c r="B55" s="2">
        <v>10175340</v>
      </c>
      <c r="C55" s="2">
        <v>4278</v>
      </c>
      <c r="D55" s="2">
        <v>26989</v>
      </c>
      <c r="E55" s="2" t="s">
        <v>80</v>
      </c>
      <c r="F55" s="40" t="s">
        <v>39</v>
      </c>
      <c r="G55" s="31"/>
      <c r="H55" s="7"/>
      <c r="I55" s="7"/>
      <c r="J55" s="7"/>
      <c r="K55" s="7"/>
      <c r="L55" s="46">
        <f>IF(OR($G$4="MEDIA",$G$4="BASICA - TERCER CICLO"),ROUND(((G55*$G$11)+(H55*$H$11)+(I55*$I$11)+(J55*$J$11)+(K55*$K$11)*100)/35%,2),ROUND((G55*$G$11)+(H55*$H$11)+(I55*$I$11)+(J55*$J$11)+(K55*$K$11),2))</f>
        <v>0</v>
      </c>
      <c r="M55" s="7"/>
      <c r="N55" s="7"/>
      <c r="O55" s="7"/>
      <c r="P55" s="7"/>
      <c r="Q55" s="7"/>
      <c r="R55" s="46">
        <f>IF(OR($G$4="MEDIA",$G$4="BASICA - TERCER CICLO"),ROUND(((M55*$M$11)+(N55*$N$11)+(O55*$O$11)+(P55*$P$11)+(Q55*$Q$11)*100)/35%,2),ROUND((M55*$M$11)+(N55*$N$11)+(O55*$O$11)+(P55*$P$11)+(Q55*$Q$11),2))</f>
        <v>0</v>
      </c>
      <c r="S55" s="7"/>
      <c r="T55" s="7"/>
      <c r="U55" s="7"/>
      <c r="V55" s="13">
        <f>IF(OR($G$4="MEDIA",$G$4="BASICA - TERCER CICLO"),ROUND(((S55*$S$11)+(T55*$T$11)+(U55*$U$11)*100)/30%,2),ROUND(((S55*$S$11)+(T55*$T$11)+(U55*$U$11)*100)/30%,2))</f>
        <v>0</v>
      </c>
      <c r="W55" s="7"/>
      <c r="X55" s="14">
        <f>IF(OR($G$4="MEDIA",$G$4="BASICA - TERCER CICLO"),ROUND((W55*$W$11),2),ROUND((W55*$W$11),0))</f>
        <v>0</v>
      </c>
      <c r="Y55" s="47">
        <f>ROUND((L55+R55+V55)/3,1)</f>
        <v>0</v>
      </c>
      <c r="Z55" s="7"/>
      <c r="AA55" s="7"/>
      <c r="AB55" s="7"/>
      <c r="AC55" s="7"/>
      <c r="AD55" s="7"/>
      <c r="AE55" s="46">
        <f>IF(OR($G$4="MEDIA",$G$4="BASICA - TERCER CICLO"),ROUND(((Z55*$Z$11)+(AA55*$AA$11)+(AB55*$AB$11)+(AC55*$AC$11)+(AD55*$AD$11)*100)/35%,2),ROUND((Z55*$Z$11)+(AA55*$AA$11)+(AB55*$AB$11)+(AC55*$AC$11)+(AD55*$AD$11),2))</f>
        <v>0</v>
      </c>
      <c r="AF55" s="7"/>
      <c r="AG55" s="7"/>
      <c r="AH55" s="7"/>
      <c r="AI55" s="7"/>
      <c r="AJ55" s="7"/>
      <c r="AK55" s="46">
        <f>IF(OR($G$4="MEDIA",$G$4="BASICA - TERCER CICLO"),ROUND(((AF55*$AF$11)+(AG55*$AG$11)+(AH55*$AH$11)+(AI55*$AI$11)+(AJ55*$AJ$11)*100)/35%,2),ROUND((AF55*$AF$11)+(AG55*$AG$11)+(AH55*$AH$11)+(AI55*$AI$11)+(AJ55*$AJ$11),2))</f>
        <v>0</v>
      </c>
      <c r="AL55" s="7"/>
      <c r="AM55" s="7"/>
      <c r="AN55" s="7"/>
      <c r="AO55" s="46">
        <f>IF(OR($G$4="MEDIA",$G$4="BASICA - TERCER CICLO"),ROUND(((AL55*$AL$11)+(AM55*$AM$11)+(AN55*$AN$11)*100)/30%,2),ROUND(((AL55*$AL$11)+(AM55*$AM$11)+(AN55*$AN$11)*100)/30%,2))</f>
        <v>0</v>
      </c>
      <c r="AP55" s="7"/>
      <c r="AQ55" s="14">
        <f>IF(OR($G$4="MEDIA",$G$4="BASICA - TERCER CICLO"),ROUND((AP55*$AP$11),2),ROUND((AP55*$AP$11),0))</f>
        <v>0</v>
      </c>
      <c r="AR55" s="47">
        <f>ROUND((AE55+AK55+AO55)/3,1)</f>
        <v>0</v>
      </c>
      <c r="AS55" s="7"/>
      <c r="AT55" s="7"/>
      <c r="AU55" s="7"/>
      <c r="AV55" s="7"/>
      <c r="AW55" s="7"/>
      <c r="AX55" s="46">
        <f>IF(OR($G$4="MEDIA",$G$4="BASICA - TERCER CICLO"),ROUND(((AS55*$AS$11)+(AT55*$AT$11)+(AU55*$AU$11)+(AV55*$AV$11)+(AW55*$AW$11)*100)/35%,2),ROUND((AS55*$AS$11)+(AT55*$AT$11)+(AU55*$AU$11)+(AV55*$AV$11)+(AW55*$AW$11),2))</f>
        <v>0</v>
      </c>
      <c r="AY55" s="7"/>
      <c r="AZ55" s="7"/>
      <c r="BA55" s="7"/>
      <c r="BB55" s="7"/>
      <c r="BC55" s="7"/>
      <c r="BD55" s="46">
        <f>IF(OR($G$4="MEDIA",$G$4="BASICA - TERCER CICLO"),ROUND(((AY55*$AY$11)+(AZ55*$AZ$11)+(BA55*$BA$11)+(BB55*$BB$11)+(BC55*$BC$11)*100)/35%,2),ROUND((AY55*$AY$11)+(AZ55*$AZ$11)+(BA55*$BA$11)+(BB55*$BB$11)+(BC55*$BC$11),2))</f>
        <v>0</v>
      </c>
      <c r="BE55" s="7"/>
      <c r="BF55" s="7"/>
      <c r="BG55" s="7"/>
      <c r="BH55" s="46">
        <f>IF(OR($G$4="MEDIA",$G$4="BASICA - TERCER CICLO"),ROUND(((BE55*$BE$11)+(BF55*$BF$11)+(BG55*$BG$11)*100)/30%,2),ROUND(((BE55*$BE$11)+(BF55*$BF$11)+(BG55*$BG$11)*100)/30%,2))</f>
        <v>0</v>
      </c>
      <c r="BI55" s="7"/>
      <c r="BJ55" s="14">
        <f>IF(OR($G$4="MEDIA",$G$4="BASICA - TERCER CICLO"),ROUND((BI55*$BI$11),2),ROUND((BI55*$BI$11),0))</f>
        <v>0</v>
      </c>
      <c r="BK55" s="47">
        <f>ROUND((AX55+BD55+BH55)/3,1)</f>
        <v>0</v>
      </c>
      <c r="BL55" s="7"/>
      <c r="BM55" s="7"/>
      <c r="BN55" s="7"/>
      <c r="BO55" s="7"/>
      <c r="BP55" s="7"/>
      <c r="BQ55" s="13">
        <f>IF(OR($G$4="MEDIA",$G$4="BASICA - TERCER CICLO"),ROUND(((BL55*$BL$11)+(BM55*$BM$11)+(BN55*$BN$11)+(BO55*$BO$11)+(BP55*$BP$11)*100)/35%,2),ROUND(((BL55*$BL$11)+(BM55*$BM$11)+(BN55*$BN$11)+(BO55*$BO$11)+(BP55*$BP$11)*100)/35%,2))</f>
        <v>0</v>
      </c>
      <c r="BR55" s="7"/>
      <c r="BS55" s="7"/>
      <c r="BT55" s="7"/>
      <c r="BU55" s="7"/>
      <c r="BV55" s="7"/>
      <c r="BW55" s="13">
        <f>IF(OR($G$4="MEDIA",$G$4="BASICA - TERCER CICLO"),ROUND(((BR55*$BR$11)+(BS55*$BS$11)+(BT55*$BT$11)+(BU55*$BU$11)+(BV55*$BV$11)*100)/35%,2),ROUND(((BR55*$BR$11)+(BS55*$BS$11)+(BT55*$BT$11)+(BU55*$BU$11)+(BV55*$BP$11)*100)/35%,2))</f>
        <v>0</v>
      </c>
      <c r="BX55" s="7"/>
      <c r="BY55" s="7"/>
      <c r="BZ55" s="7"/>
      <c r="CA55" s="13">
        <f>IF(OR($G$4="MEDIA",$G$4="BASICA - TERCER CICLO"),ROUND(((BX55*$BX$11)+(BY55*$BY$11)+(BZ55*$BZ$11)*100)/30%,2),ROUND(((BX55*$BX$11)+(BY55*$BY$11)+(BZ55*$BZ$11)*100)/30%,2))</f>
        <v>0</v>
      </c>
      <c r="CB55" s="7"/>
      <c r="CC55" s="14">
        <f>IF(OR($G$4="MEDIA",$G$4="BASICA - TERCER CICLO"),ROUND((CB55*$BI$11),2),ROUND((CB55*$BI$11),0))</f>
        <v>0</v>
      </c>
      <c r="CD55" s="28">
        <f>IF(OR($G$4="MEDIA",$G$4="BASICA - TERCER CICLO"),ROUND((BQ55+BW55+CA55+CC55),1),IF($G$4="BASICA",ROUND((BQ55+BW55+CA55+CC55),0),ROUND((BQ55+BW55+CA55+CC55),1)))</f>
        <v>0</v>
      </c>
      <c r="CE55" s="28">
        <f>IF($G$4 = "MEDIA",ROUND(((Y55+AR55+BK55+CD55)/4),0),ROUND(((Y55+AR55+BK55)/3),0))</f>
        <v>0</v>
      </c>
      <c r="CF55" s="20"/>
      <c r="CG55" s="28">
        <f>IF(AND(CE55&lt;5,$G$4="BASICA"),ROUND((CE55+CF55)/2,0),IF(AND(CE55&lt;6,$G$4="MEDIA"),ROUND((CE55+CF55)/2,0),CE55))</f>
        <v>0</v>
      </c>
      <c r="CH55" s="17" t="str">
        <f>IF($G$4="MEDIA",IF(CG55&gt;=6,"Aprobado","Reprobado"),IF(CG55&gt;=5,"Aprobado","Reprobado"))</f>
        <v>Reprobado</v>
      </c>
    </row>
    <row r="56" spans="1:86" customHeight="1" ht="20.25">
      <c r="A56" s="41">
        <v>44</v>
      </c>
      <c r="B56" s="3">
        <v>10464739</v>
      </c>
      <c r="C56" s="3">
        <v>5128</v>
      </c>
      <c r="D56" s="3">
        <v>26990</v>
      </c>
      <c r="E56" s="3" t="s">
        <v>81</v>
      </c>
      <c r="F56" s="42" t="s">
        <v>37</v>
      </c>
      <c r="G56" s="32"/>
      <c r="H56" s="12"/>
      <c r="I56" s="12"/>
      <c r="J56" s="12"/>
      <c r="K56" s="12"/>
      <c r="L56" s="46">
        <f>IF(OR($G$4="MEDIA",$G$4="BASICA - TERCER CICLO"),ROUND(((G56*$G$11)+(H56*$H$11)+(I56*$I$11)+(J56*$J$11)+(K56*$K$11)*100)/35%,2),ROUND((G56*$G$11)+(H56*$H$11)+(I56*$I$11)+(J56*$J$11)+(K56*$K$11),2))</f>
        <v>0</v>
      </c>
      <c r="M56" s="12"/>
      <c r="N56" s="12"/>
      <c r="O56" s="12"/>
      <c r="P56" s="12"/>
      <c r="Q56" s="12"/>
      <c r="R56" s="46">
        <f>IF(OR($G$4="MEDIA",$G$4="BASICA - TERCER CICLO"),ROUND(((M56*$M$11)+(N56*$N$11)+(O56*$O$11)+(P56*$P$11)+(Q56*$Q$11)*100)/35%,2),ROUND((M56*$M$11)+(N56*$N$11)+(O56*$O$11)+(P56*$P$11)+(Q56*$Q$11),2))</f>
        <v>0</v>
      </c>
      <c r="S56" s="12"/>
      <c r="T56" s="12"/>
      <c r="U56" s="12"/>
      <c r="V56" s="13">
        <f>IF(OR($G$4="MEDIA",$G$4="BASICA - TERCER CICLO"),ROUND(((S56*$S$11)+(T56*$T$11)+(U56*$U$11)*100)/30%,2),ROUND(((S56*$S$11)+(T56*$T$11)+(U56*$U$11)*100)/30%,2))</f>
        <v>0</v>
      </c>
      <c r="W56" s="12"/>
      <c r="X56" s="14">
        <f>IF(OR($G$4="MEDIA",$G$4="BASICA - TERCER CICLO"),ROUND((W56*$W$11),2),ROUND((W56*$W$11),0))</f>
        <v>0</v>
      </c>
      <c r="Y56" s="47">
        <f>ROUND((L56+R56+V56)/3,1)</f>
        <v>0</v>
      </c>
      <c r="Z56" s="12"/>
      <c r="AA56" s="12"/>
      <c r="AB56" s="12"/>
      <c r="AC56" s="12"/>
      <c r="AD56" s="12"/>
      <c r="AE56" s="46">
        <f>IF(OR($G$4="MEDIA",$G$4="BASICA - TERCER CICLO"),ROUND(((Z56*$Z$11)+(AA56*$AA$11)+(AB56*$AB$11)+(AC56*$AC$11)+(AD56*$AD$11)*100)/35%,2),ROUND((Z56*$Z$11)+(AA56*$AA$11)+(AB56*$AB$11)+(AC56*$AC$11)+(AD56*$AD$11),2))</f>
        <v>0</v>
      </c>
      <c r="AF56" s="12"/>
      <c r="AG56" s="12"/>
      <c r="AH56" s="12"/>
      <c r="AI56" s="12"/>
      <c r="AJ56" s="12"/>
      <c r="AK56" s="46">
        <f>IF(OR($G$4="MEDIA",$G$4="BASICA - TERCER CICLO"),ROUND(((AF56*$AF$11)+(AG56*$AG$11)+(AH56*$AH$11)+(AI56*$AI$11)+(AJ56*$AJ$11)*100)/35%,2),ROUND((AF56*$AF$11)+(AG56*$AG$11)+(AH56*$AH$11)+(AI56*$AI$11)+(AJ56*$AJ$11),2))</f>
        <v>0</v>
      </c>
      <c r="AL56" s="12"/>
      <c r="AM56" s="12"/>
      <c r="AN56" s="12"/>
      <c r="AO56" s="46">
        <f>IF(OR($G$4="MEDIA",$G$4="BASICA - TERCER CICLO"),ROUND(((AL56*$AL$11)+(AM56*$AM$11)+(AN56*$AN$11)*100)/30%,2),ROUND(((AL56*$AL$11)+(AM56*$AM$11)+(AN56*$AN$11)*100)/30%,2))</f>
        <v>0</v>
      </c>
      <c r="AP56" s="12"/>
      <c r="AQ56" s="14">
        <f>IF(OR($G$4="MEDIA",$G$4="BASICA - TERCER CICLO"),ROUND((AP56*$AP$11),2),ROUND((AP56*$AP$11),0))</f>
        <v>0</v>
      </c>
      <c r="AR56" s="47">
        <f>ROUND((AE56+AK56+AO56)/3,1)</f>
        <v>0</v>
      </c>
      <c r="AS56" s="12"/>
      <c r="AT56" s="12"/>
      <c r="AU56" s="12"/>
      <c r="AV56" s="12"/>
      <c r="AW56" s="12"/>
      <c r="AX56" s="46">
        <f>IF(OR($G$4="MEDIA",$G$4="BASICA - TERCER CICLO"),ROUND(((AS56*$AS$11)+(AT56*$AT$11)+(AU56*$AU$11)+(AV56*$AV$11)+(AW56*$AW$11)*100)/35%,2),ROUND((AS56*$AS$11)+(AT56*$AT$11)+(AU56*$AU$11)+(AV56*$AV$11)+(AW56*$AW$11),2))</f>
        <v>0</v>
      </c>
      <c r="AY56" s="12"/>
      <c r="AZ56" s="12"/>
      <c r="BA56" s="12"/>
      <c r="BB56" s="12"/>
      <c r="BC56" s="12"/>
      <c r="BD56" s="46">
        <f>IF(OR($G$4="MEDIA",$G$4="BASICA - TERCER CICLO"),ROUND(((AY56*$AY$11)+(AZ56*$AZ$11)+(BA56*$BA$11)+(BB56*$BB$11)+(BC56*$BC$11)*100)/35%,2),ROUND((AY56*$AY$11)+(AZ56*$AZ$11)+(BA56*$BA$11)+(BB56*$BB$11)+(BC56*$BC$11),2))</f>
        <v>0</v>
      </c>
      <c r="BE56" s="12"/>
      <c r="BF56" s="12"/>
      <c r="BG56" s="12"/>
      <c r="BH56" s="46">
        <f>IF(OR($G$4="MEDIA",$G$4="BASICA - TERCER CICLO"),ROUND(((BE56*$BE$11)+(BF56*$BF$11)+(BG56*$BG$11)*100)/30%,2),ROUND(((BE56*$BE$11)+(BF56*$BF$11)+(BG56*$BG$11)*100)/30%,2))</f>
        <v>0</v>
      </c>
      <c r="BI56" s="12"/>
      <c r="BJ56" s="14">
        <f>IF(OR($G$4="MEDIA",$G$4="BASICA - TERCER CICLO"),ROUND((BI56*$BI$11),2),ROUND((BI56*$BI$11),0))</f>
        <v>0</v>
      </c>
      <c r="BK56" s="47">
        <f>ROUND((AX56+BD56+BH56)/3,1)</f>
        <v>0</v>
      </c>
      <c r="BL56" s="12"/>
      <c r="BM56" s="12"/>
      <c r="BN56" s="12"/>
      <c r="BO56" s="12"/>
      <c r="BP56" s="12"/>
      <c r="BQ56" s="13">
        <f>IF(OR($G$4="MEDIA",$G$4="BASICA - TERCER CICLO"),ROUND(((BL56*$BL$11)+(BM56*$BM$11)+(BN56*$BN$11)+(BO56*$BO$11)+(BP56*$BP$11)*100)/35%,2),ROUND(((BL56*$BL$11)+(BM56*$BM$11)+(BN56*$BN$11)+(BO56*$BO$11)+(BP56*$BP$11)*100)/35%,2))</f>
        <v>0</v>
      </c>
      <c r="BR56" s="12"/>
      <c r="BS56" s="12"/>
      <c r="BT56" s="12"/>
      <c r="BU56" s="12"/>
      <c r="BV56" s="12"/>
      <c r="BW56" s="13">
        <f>IF(OR($G$4="MEDIA",$G$4="BASICA - TERCER CICLO"),ROUND(((BR56*$BR$11)+(BS56*$BS$11)+(BT56*$BT$11)+(BU56*$BU$11)+(BV56*$BV$11)*100)/35%,2),ROUND(((BR56*$BR$11)+(BS56*$BS$11)+(BT56*$BT$11)+(BU56*$BU$11)+(BV56*$BP$11)*100)/35%,2))</f>
        <v>0</v>
      </c>
      <c r="BX56" s="12"/>
      <c r="BY56" s="12"/>
      <c r="BZ56" s="12"/>
      <c r="CA56" s="13">
        <f>IF(OR($G$4="MEDIA",$G$4="BASICA - TERCER CICLO"),ROUND(((BX56*$BX$11)+(BY56*$BY$11)+(BZ56*$BZ$11)*100)/30%,2),ROUND(((BX56*$BX$11)+(BY56*$BY$11)+(BZ56*$BZ$11)*100)/30%,2))</f>
        <v>0</v>
      </c>
      <c r="CB56" s="12"/>
      <c r="CC56" s="14">
        <f>IF(OR($G$4="MEDIA",$G$4="BASICA - TERCER CICLO"),ROUND((CB56*$BI$11),2),ROUND((CB56*$BI$11),0))</f>
        <v>0</v>
      </c>
      <c r="CD56" s="28">
        <f>IF(OR($G$4="MEDIA",$G$4="BASICA - TERCER CICLO"),ROUND((BQ56+BW56+CA56+CC56),1),IF($G$4="BASICA",ROUND((BQ56+BW56+CA56+CC56),0),ROUND((BQ56+BW56+CA56+CC56),1)))</f>
        <v>0</v>
      </c>
      <c r="CE56" s="28">
        <f>IF($G$4 = "MEDIA",ROUND(((Y56+AR56+BK56+CD56)/4),0),ROUND(((Y56+AR56+BK56)/3),0))</f>
        <v>0</v>
      </c>
      <c r="CF56" s="21"/>
      <c r="CG56" s="28">
        <f>IF(AND(CE56&lt;5,$G$4="BASICA"),ROUND((CE56+CF56)/2,0),IF(AND(CE56&lt;6,$G$4="MEDIA"),ROUND((CE56+CF56)/2,0),CE56))</f>
        <v>0</v>
      </c>
      <c r="CH56" s="16" t="str">
        <f>IF($G$4="MEDIA",IF(CG56&gt;=6,"Aprobado","Reprobado"),IF(CG56&gt;=5,"Aprobado","Reprobado"))</f>
        <v>Reprobado</v>
      </c>
    </row>
    <row r="57" spans="1:86" customHeight="1" ht="20.25">
      <c r="A57" s="39">
        <v>45</v>
      </c>
      <c r="B57" s="2">
        <v>10282543</v>
      </c>
      <c r="C57" s="2">
        <v>4399</v>
      </c>
      <c r="D57" s="2">
        <v>26991</v>
      </c>
      <c r="E57" s="2" t="s">
        <v>82</v>
      </c>
      <c r="F57" s="40" t="s">
        <v>39</v>
      </c>
      <c r="G57" s="31"/>
      <c r="H57" s="7"/>
      <c r="I57" s="7"/>
      <c r="J57" s="7"/>
      <c r="K57" s="7"/>
      <c r="L57" s="46">
        <f>IF(OR($G$4="MEDIA",$G$4="BASICA - TERCER CICLO"),ROUND(((G57*$G$11)+(H57*$H$11)+(I57*$I$11)+(J57*$J$11)+(K57*$K$11)*100)/35%,2),ROUND((G57*$G$11)+(H57*$H$11)+(I57*$I$11)+(J57*$J$11)+(K57*$K$11),2))</f>
        <v>0</v>
      </c>
      <c r="M57" s="7"/>
      <c r="N57" s="7"/>
      <c r="O57" s="7"/>
      <c r="P57" s="7"/>
      <c r="Q57" s="7"/>
      <c r="R57" s="46">
        <f>IF(OR($G$4="MEDIA",$G$4="BASICA - TERCER CICLO"),ROUND(((M57*$M$11)+(N57*$N$11)+(O57*$O$11)+(P57*$P$11)+(Q57*$Q$11)*100)/35%,2),ROUND((M57*$M$11)+(N57*$N$11)+(O57*$O$11)+(P57*$P$11)+(Q57*$Q$11),2))</f>
        <v>0</v>
      </c>
      <c r="S57" s="7"/>
      <c r="T57" s="7"/>
      <c r="U57" s="7"/>
      <c r="V57" s="13">
        <f>IF(OR($G$4="MEDIA",$G$4="BASICA - TERCER CICLO"),ROUND(((S57*$S$11)+(T57*$T$11)+(U57*$U$11)*100)/30%,2),ROUND(((S57*$S$11)+(T57*$T$11)+(U57*$U$11)*100)/30%,2))</f>
        <v>0</v>
      </c>
      <c r="W57" s="7"/>
      <c r="X57" s="14">
        <f>IF(OR($G$4="MEDIA",$G$4="BASICA - TERCER CICLO"),ROUND((W57*$W$11),2),ROUND((W57*$W$11),0))</f>
        <v>0</v>
      </c>
      <c r="Y57" s="47">
        <f>ROUND((L57+R57+V57)/3,1)</f>
        <v>0</v>
      </c>
      <c r="Z57" s="7"/>
      <c r="AA57" s="7"/>
      <c r="AB57" s="7"/>
      <c r="AC57" s="7"/>
      <c r="AD57" s="7"/>
      <c r="AE57" s="46">
        <f>IF(OR($G$4="MEDIA",$G$4="BASICA - TERCER CICLO"),ROUND(((Z57*$Z$11)+(AA57*$AA$11)+(AB57*$AB$11)+(AC57*$AC$11)+(AD57*$AD$11)*100)/35%,2),ROUND((Z57*$Z$11)+(AA57*$AA$11)+(AB57*$AB$11)+(AC57*$AC$11)+(AD57*$AD$11),2))</f>
        <v>0</v>
      </c>
      <c r="AF57" s="7"/>
      <c r="AG57" s="7"/>
      <c r="AH57" s="7"/>
      <c r="AI57" s="7"/>
      <c r="AJ57" s="7"/>
      <c r="AK57" s="46">
        <f>IF(OR($G$4="MEDIA",$G$4="BASICA - TERCER CICLO"),ROUND(((AF57*$AF$11)+(AG57*$AG$11)+(AH57*$AH$11)+(AI57*$AI$11)+(AJ57*$AJ$11)*100)/35%,2),ROUND((AF57*$AF$11)+(AG57*$AG$11)+(AH57*$AH$11)+(AI57*$AI$11)+(AJ57*$AJ$11),2))</f>
        <v>0</v>
      </c>
      <c r="AL57" s="7"/>
      <c r="AM57" s="7"/>
      <c r="AN57" s="7"/>
      <c r="AO57" s="46">
        <f>IF(OR($G$4="MEDIA",$G$4="BASICA - TERCER CICLO"),ROUND(((AL57*$AL$11)+(AM57*$AM$11)+(AN57*$AN$11)*100)/30%,2),ROUND(((AL57*$AL$11)+(AM57*$AM$11)+(AN57*$AN$11)*100)/30%,2))</f>
        <v>0</v>
      </c>
      <c r="AP57" s="7"/>
      <c r="AQ57" s="14">
        <f>IF(OR($G$4="MEDIA",$G$4="BASICA - TERCER CICLO"),ROUND((AP57*$AP$11),2),ROUND((AP57*$AP$11),0))</f>
        <v>0</v>
      </c>
      <c r="AR57" s="47">
        <f>ROUND((AE57+AK57+AO57)/3,1)</f>
        <v>0</v>
      </c>
      <c r="AS57" s="7"/>
      <c r="AT57" s="7"/>
      <c r="AU57" s="7"/>
      <c r="AV57" s="7"/>
      <c r="AW57" s="7"/>
      <c r="AX57" s="46">
        <f>IF(OR($G$4="MEDIA",$G$4="BASICA - TERCER CICLO"),ROUND(((AS57*$AS$11)+(AT57*$AT$11)+(AU57*$AU$11)+(AV57*$AV$11)+(AW57*$AW$11)*100)/35%,2),ROUND((AS57*$AS$11)+(AT57*$AT$11)+(AU57*$AU$11)+(AV57*$AV$11)+(AW57*$AW$11),2))</f>
        <v>0</v>
      </c>
      <c r="AY57" s="7"/>
      <c r="AZ57" s="7"/>
      <c r="BA57" s="7"/>
      <c r="BB57" s="7"/>
      <c r="BC57" s="7"/>
      <c r="BD57" s="46">
        <f>IF(OR($G$4="MEDIA",$G$4="BASICA - TERCER CICLO"),ROUND(((AY57*$AY$11)+(AZ57*$AZ$11)+(BA57*$BA$11)+(BB57*$BB$11)+(BC57*$BC$11)*100)/35%,2),ROUND((AY57*$AY$11)+(AZ57*$AZ$11)+(BA57*$BA$11)+(BB57*$BB$11)+(BC57*$BC$11),2))</f>
        <v>0</v>
      </c>
      <c r="BE57" s="7"/>
      <c r="BF57" s="7"/>
      <c r="BG57" s="7"/>
      <c r="BH57" s="46">
        <f>IF(OR($G$4="MEDIA",$G$4="BASICA - TERCER CICLO"),ROUND(((BE57*$BE$11)+(BF57*$BF$11)+(BG57*$BG$11)*100)/30%,2),ROUND(((BE57*$BE$11)+(BF57*$BF$11)+(BG57*$BG$11)*100)/30%,2))</f>
        <v>0</v>
      </c>
      <c r="BI57" s="7"/>
      <c r="BJ57" s="14">
        <f>IF(OR($G$4="MEDIA",$G$4="BASICA - TERCER CICLO"),ROUND((BI57*$BI$11),2),ROUND((BI57*$BI$11),0))</f>
        <v>0</v>
      </c>
      <c r="BK57" s="47">
        <f>ROUND((AX57+BD57+BH57)/3,1)</f>
        <v>0</v>
      </c>
      <c r="BL57" s="7"/>
      <c r="BM57" s="7"/>
      <c r="BN57" s="7"/>
      <c r="BO57" s="7"/>
      <c r="BP57" s="7"/>
      <c r="BQ57" s="13">
        <f>IF(OR($G$4="MEDIA",$G$4="BASICA - TERCER CICLO"),ROUND(((BL57*$BL$11)+(BM57*$BM$11)+(BN57*$BN$11)+(BO57*$BO$11)+(BP57*$BP$11)*100)/35%,2),ROUND(((BL57*$BL$11)+(BM57*$BM$11)+(BN57*$BN$11)+(BO57*$BO$11)+(BP57*$BP$11)*100)/35%,2))</f>
        <v>0</v>
      </c>
      <c r="BR57" s="7"/>
      <c r="BS57" s="7"/>
      <c r="BT57" s="7"/>
      <c r="BU57" s="7"/>
      <c r="BV57" s="7"/>
      <c r="BW57" s="13">
        <f>IF(OR($G$4="MEDIA",$G$4="BASICA - TERCER CICLO"),ROUND(((BR57*$BR$11)+(BS57*$BS$11)+(BT57*$BT$11)+(BU57*$BU$11)+(BV57*$BV$11)*100)/35%,2),ROUND(((BR57*$BR$11)+(BS57*$BS$11)+(BT57*$BT$11)+(BU57*$BU$11)+(BV57*$BP$11)*100)/35%,2))</f>
        <v>0</v>
      </c>
      <c r="BX57" s="7"/>
      <c r="BY57" s="7"/>
      <c r="BZ57" s="7"/>
      <c r="CA57" s="13">
        <f>IF(OR($G$4="MEDIA",$G$4="BASICA - TERCER CICLO"),ROUND(((BX57*$BX$11)+(BY57*$BY$11)+(BZ57*$BZ$11)*100)/30%,2),ROUND(((BX57*$BX$11)+(BY57*$BY$11)+(BZ57*$BZ$11)*100)/30%,2))</f>
        <v>0</v>
      </c>
      <c r="CB57" s="7"/>
      <c r="CC57" s="14">
        <f>IF(OR($G$4="MEDIA",$G$4="BASICA - TERCER CICLO"),ROUND((CB57*$BI$11),2),ROUND((CB57*$BI$11),0))</f>
        <v>0</v>
      </c>
      <c r="CD57" s="28">
        <f>IF(OR($G$4="MEDIA",$G$4="BASICA - TERCER CICLO"),ROUND((BQ57+BW57+CA57+CC57),1),IF($G$4="BASICA",ROUND((BQ57+BW57+CA57+CC57),0),ROUND((BQ57+BW57+CA57+CC57),1)))</f>
        <v>0</v>
      </c>
      <c r="CE57" s="28">
        <f>IF($G$4 = "MEDIA",ROUND(((Y57+AR57+BK57+CD57)/4),0),ROUND(((Y57+AR57+BK57)/3),0))</f>
        <v>0</v>
      </c>
      <c r="CF57" s="20"/>
      <c r="CG57" s="28">
        <f>IF(AND(CE57&lt;5,$G$4="BASICA"),ROUND((CE57+CF57)/2,0),IF(AND(CE57&lt;6,$G$4="MEDIA"),ROUND((CE57+CF57)/2,0),CE57))</f>
        <v>0</v>
      </c>
      <c r="CH57" s="17" t="str">
        <f>IF($G$4="MEDIA",IF(CG57&gt;=6,"Aprobado","Reprobado"),IF(CG57&gt;=5,"Aprobado","Reprobado"))</f>
        <v>Reprobado</v>
      </c>
    </row>
    <row r="58" spans="1:86" customHeight="1" ht="20.25">
      <c r="A58" s="41">
        <v>46</v>
      </c>
      <c r="B58" s="3">
        <v>10391947</v>
      </c>
      <c r="C58" s="3">
        <v>5030</v>
      </c>
      <c r="D58" s="3">
        <v>27020</v>
      </c>
      <c r="E58" s="3" t="s">
        <v>83</v>
      </c>
      <c r="F58" s="42" t="s">
        <v>37</v>
      </c>
      <c r="G58" s="32"/>
      <c r="H58" s="12"/>
      <c r="I58" s="12"/>
      <c r="J58" s="12"/>
      <c r="K58" s="12"/>
      <c r="L58" s="46">
        <f>IF(OR($G$4="MEDIA",$G$4="BASICA - TERCER CICLO"),ROUND(((G58*$G$11)+(H58*$H$11)+(I58*$I$11)+(J58*$J$11)+(K58*$K$11)*100)/35%,2),ROUND((G58*$G$11)+(H58*$H$11)+(I58*$I$11)+(J58*$J$11)+(K58*$K$11),2))</f>
        <v>0</v>
      </c>
      <c r="M58" s="12"/>
      <c r="N58" s="12"/>
      <c r="O58" s="12"/>
      <c r="P58" s="12"/>
      <c r="Q58" s="12"/>
      <c r="R58" s="46">
        <f>IF(OR($G$4="MEDIA",$G$4="BASICA - TERCER CICLO"),ROUND(((M58*$M$11)+(N58*$N$11)+(O58*$O$11)+(P58*$P$11)+(Q58*$Q$11)*100)/35%,2),ROUND((M58*$M$11)+(N58*$N$11)+(O58*$O$11)+(P58*$P$11)+(Q58*$Q$11),2))</f>
        <v>0</v>
      </c>
      <c r="S58" s="12"/>
      <c r="T58" s="12"/>
      <c r="U58" s="12"/>
      <c r="V58" s="13">
        <f>IF(OR($G$4="MEDIA",$G$4="BASICA - TERCER CICLO"),ROUND(((S58*$S$11)+(T58*$T$11)+(U58*$U$11)*100)/30%,2),ROUND(((S58*$S$11)+(T58*$T$11)+(U58*$U$11)*100)/30%,2))</f>
        <v>0</v>
      </c>
      <c r="W58" s="12"/>
      <c r="X58" s="14">
        <f>IF(OR($G$4="MEDIA",$G$4="BASICA - TERCER CICLO"),ROUND((W58*$W$11),2),ROUND((W58*$W$11),0))</f>
        <v>0</v>
      </c>
      <c r="Y58" s="47">
        <f>ROUND((L58+R58+V58)/3,1)</f>
        <v>0</v>
      </c>
      <c r="Z58" s="12"/>
      <c r="AA58" s="12"/>
      <c r="AB58" s="12"/>
      <c r="AC58" s="12"/>
      <c r="AD58" s="12"/>
      <c r="AE58" s="46">
        <f>IF(OR($G$4="MEDIA",$G$4="BASICA - TERCER CICLO"),ROUND(((Z58*$Z$11)+(AA58*$AA$11)+(AB58*$AB$11)+(AC58*$AC$11)+(AD58*$AD$11)*100)/35%,2),ROUND((Z58*$Z$11)+(AA58*$AA$11)+(AB58*$AB$11)+(AC58*$AC$11)+(AD58*$AD$11),2))</f>
        <v>0</v>
      </c>
      <c r="AF58" s="12"/>
      <c r="AG58" s="12"/>
      <c r="AH58" s="12"/>
      <c r="AI58" s="12"/>
      <c r="AJ58" s="12"/>
      <c r="AK58" s="46">
        <f>IF(OR($G$4="MEDIA",$G$4="BASICA - TERCER CICLO"),ROUND(((AF58*$AF$11)+(AG58*$AG$11)+(AH58*$AH$11)+(AI58*$AI$11)+(AJ58*$AJ$11)*100)/35%,2),ROUND((AF58*$AF$11)+(AG58*$AG$11)+(AH58*$AH$11)+(AI58*$AI$11)+(AJ58*$AJ$11),2))</f>
        <v>0</v>
      </c>
      <c r="AL58" s="12"/>
      <c r="AM58" s="12"/>
      <c r="AN58" s="12"/>
      <c r="AO58" s="46">
        <f>IF(OR($G$4="MEDIA",$G$4="BASICA - TERCER CICLO"),ROUND(((AL58*$AL$11)+(AM58*$AM$11)+(AN58*$AN$11)*100)/30%,2),ROUND(((AL58*$AL$11)+(AM58*$AM$11)+(AN58*$AN$11)*100)/30%,2))</f>
        <v>0</v>
      </c>
      <c r="AP58" s="12"/>
      <c r="AQ58" s="14">
        <f>IF(OR($G$4="MEDIA",$G$4="BASICA - TERCER CICLO"),ROUND((AP58*$AP$11),2),ROUND((AP58*$AP$11),0))</f>
        <v>0</v>
      </c>
      <c r="AR58" s="47">
        <f>ROUND((AE58+AK58+AO58)/3,1)</f>
        <v>0</v>
      </c>
      <c r="AS58" s="12"/>
      <c r="AT58" s="12"/>
      <c r="AU58" s="12"/>
      <c r="AV58" s="12"/>
      <c r="AW58" s="12"/>
      <c r="AX58" s="46">
        <f>IF(OR($G$4="MEDIA",$G$4="BASICA - TERCER CICLO"),ROUND(((AS58*$AS$11)+(AT58*$AT$11)+(AU58*$AU$11)+(AV58*$AV$11)+(AW58*$AW$11)*100)/35%,2),ROUND((AS58*$AS$11)+(AT58*$AT$11)+(AU58*$AU$11)+(AV58*$AV$11)+(AW58*$AW$11),2))</f>
        <v>0</v>
      </c>
      <c r="AY58" s="12"/>
      <c r="AZ58" s="12"/>
      <c r="BA58" s="12"/>
      <c r="BB58" s="12"/>
      <c r="BC58" s="12"/>
      <c r="BD58" s="46">
        <f>IF(OR($G$4="MEDIA",$G$4="BASICA - TERCER CICLO"),ROUND(((AY58*$AY$11)+(AZ58*$AZ$11)+(BA58*$BA$11)+(BB58*$BB$11)+(BC58*$BC$11)*100)/35%,2),ROUND((AY58*$AY$11)+(AZ58*$AZ$11)+(BA58*$BA$11)+(BB58*$BB$11)+(BC58*$BC$11),2))</f>
        <v>0</v>
      </c>
      <c r="BE58" s="12"/>
      <c r="BF58" s="12"/>
      <c r="BG58" s="12"/>
      <c r="BH58" s="46">
        <f>IF(OR($G$4="MEDIA",$G$4="BASICA - TERCER CICLO"),ROUND(((BE58*$BE$11)+(BF58*$BF$11)+(BG58*$BG$11)*100)/30%,2),ROUND(((BE58*$BE$11)+(BF58*$BF$11)+(BG58*$BG$11)*100)/30%,2))</f>
        <v>0</v>
      </c>
      <c r="BI58" s="12"/>
      <c r="BJ58" s="14">
        <f>IF(OR($G$4="MEDIA",$G$4="BASICA - TERCER CICLO"),ROUND((BI58*$BI$11),2),ROUND((BI58*$BI$11),0))</f>
        <v>0</v>
      </c>
      <c r="BK58" s="47">
        <f>ROUND((AX58+BD58+BH58)/3,1)</f>
        <v>0</v>
      </c>
      <c r="BL58" s="12"/>
      <c r="BM58" s="12"/>
      <c r="BN58" s="12"/>
      <c r="BO58" s="12"/>
      <c r="BP58" s="12"/>
      <c r="BQ58" s="13">
        <f>IF(OR($G$4="MEDIA",$G$4="BASICA - TERCER CICLO"),ROUND(((BL58*$BL$11)+(BM58*$BM$11)+(BN58*$BN$11)+(BO58*$BO$11)+(BP58*$BP$11)*100)/35%,2),ROUND(((BL58*$BL$11)+(BM58*$BM$11)+(BN58*$BN$11)+(BO58*$BO$11)+(BP58*$BP$11)*100)/35%,2))</f>
        <v>0</v>
      </c>
      <c r="BR58" s="12"/>
      <c r="BS58" s="12"/>
      <c r="BT58" s="12"/>
      <c r="BU58" s="12"/>
      <c r="BV58" s="12"/>
      <c r="BW58" s="13">
        <f>IF(OR($G$4="MEDIA",$G$4="BASICA - TERCER CICLO"),ROUND(((BR58*$BR$11)+(BS58*$BS$11)+(BT58*$BT$11)+(BU58*$BU$11)+(BV58*$BV$11)*100)/35%,2),ROUND(((BR58*$BR$11)+(BS58*$BS$11)+(BT58*$BT$11)+(BU58*$BU$11)+(BV58*$BP$11)*100)/35%,2))</f>
        <v>0</v>
      </c>
      <c r="BX58" s="12"/>
      <c r="BY58" s="12"/>
      <c r="BZ58" s="12"/>
      <c r="CA58" s="13">
        <f>IF(OR($G$4="MEDIA",$G$4="BASICA - TERCER CICLO"),ROUND(((BX58*$BX$11)+(BY58*$BY$11)+(BZ58*$BZ$11)*100)/30%,2),ROUND(((BX58*$BX$11)+(BY58*$BY$11)+(BZ58*$BZ$11)*100)/30%,2))</f>
        <v>0</v>
      </c>
      <c r="CB58" s="12"/>
      <c r="CC58" s="14">
        <f>IF(OR($G$4="MEDIA",$G$4="BASICA - TERCER CICLO"),ROUND((CB58*$BI$11),2),ROUND((CB58*$BI$11),0))</f>
        <v>0</v>
      </c>
      <c r="CD58" s="28">
        <f>IF(OR($G$4="MEDIA",$G$4="BASICA - TERCER CICLO"),ROUND((BQ58+BW58+CA58+CC58),1),IF($G$4="BASICA",ROUND((BQ58+BW58+CA58+CC58),0),ROUND((BQ58+BW58+CA58+CC58),1)))</f>
        <v>0</v>
      </c>
      <c r="CE58" s="28">
        <f>IF($G$4 = "MEDIA",ROUND(((Y58+AR58+BK58+CD58)/4),0),ROUND(((Y58+AR58+BK58)/3),0))</f>
        <v>0</v>
      </c>
      <c r="CF58" s="21"/>
      <c r="CG58" s="28">
        <f>IF(AND(CE58&lt;5,$G$4="BASICA"),ROUND((CE58+CF58)/2,0),IF(AND(CE58&lt;6,$G$4="MEDIA"),ROUND((CE58+CF58)/2,0),CE58))</f>
        <v>0</v>
      </c>
      <c r="CH58" s="16" t="str">
        <f>IF($G$4="MEDIA",IF(CG58&gt;=6,"Aprobado","Reprobado"),IF(CG58&gt;=5,"Aprobado","Reprobado"))</f>
        <v>Reprobado</v>
      </c>
    </row>
    <row r="59" spans="1:86" customHeight="1" ht="20.25">
      <c r="A59" s="39">
        <v>47</v>
      </c>
      <c r="B59" s="2">
        <v>20160256</v>
      </c>
      <c r="C59" s="2">
        <v>5487</v>
      </c>
      <c r="D59" s="2">
        <v>26997</v>
      </c>
      <c r="E59" s="2" t="s">
        <v>84</v>
      </c>
      <c r="F59" s="40" t="s">
        <v>39</v>
      </c>
      <c r="G59" s="31"/>
      <c r="H59" s="7"/>
      <c r="I59" s="7"/>
      <c r="J59" s="7"/>
      <c r="K59" s="7"/>
      <c r="L59" s="46">
        <f>IF(OR($G$4="MEDIA",$G$4="BASICA - TERCER CICLO"),ROUND(((G59*$G$11)+(H59*$H$11)+(I59*$I$11)+(J59*$J$11)+(K59*$K$11)*100)/35%,2),ROUND((G59*$G$11)+(H59*$H$11)+(I59*$I$11)+(J59*$J$11)+(K59*$K$11),2))</f>
        <v>0</v>
      </c>
      <c r="M59" s="7"/>
      <c r="N59" s="7"/>
      <c r="O59" s="7"/>
      <c r="P59" s="7"/>
      <c r="Q59" s="7"/>
      <c r="R59" s="46">
        <f>IF(OR($G$4="MEDIA",$G$4="BASICA - TERCER CICLO"),ROUND(((M59*$M$11)+(N59*$N$11)+(O59*$O$11)+(P59*$P$11)+(Q59*$Q$11)*100)/35%,2),ROUND((M59*$M$11)+(N59*$N$11)+(O59*$O$11)+(P59*$P$11)+(Q59*$Q$11),2))</f>
        <v>0</v>
      </c>
      <c r="S59" s="7"/>
      <c r="T59" s="7"/>
      <c r="U59" s="7"/>
      <c r="V59" s="13">
        <f>IF(OR($G$4="MEDIA",$G$4="BASICA - TERCER CICLO"),ROUND(((S59*$S$11)+(T59*$T$11)+(U59*$U$11)*100)/30%,2),ROUND(((S59*$S$11)+(T59*$T$11)+(U59*$U$11)*100)/30%,2))</f>
        <v>0</v>
      </c>
      <c r="W59" s="7"/>
      <c r="X59" s="14">
        <f>IF(OR($G$4="MEDIA",$G$4="BASICA - TERCER CICLO"),ROUND((W59*$W$11),2),ROUND((W59*$W$11),0))</f>
        <v>0</v>
      </c>
      <c r="Y59" s="47">
        <f>ROUND((L59+R59+V59)/3,1)</f>
        <v>0</v>
      </c>
      <c r="Z59" s="7"/>
      <c r="AA59" s="7"/>
      <c r="AB59" s="7"/>
      <c r="AC59" s="7"/>
      <c r="AD59" s="7"/>
      <c r="AE59" s="46">
        <f>IF(OR($G$4="MEDIA",$G$4="BASICA - TERCER CICLO"),ROUND(((Z59*$Z$11)+(AA59*$AA$11)+(AB59*$AB$11)+(AC59*$AC$11)+(AD59*$AD$11)*100)/35%,2),ROUND((Z59*$Z$11)+(AA59*$AA$11)+(AB59*$AB$11)+(AC59*$AC$11)+(AD59*$AD$11),2))</f>
        <v>0</v>
      </c>
      <c r="AF59" s="7"/>
      <c r="AG59" s="7"/>
      <c r="AH59" s="7"/>
      <c r="AI59" s="7"/>
      <c r="AJ59" s="7"/>
      <c r="AK59" s="46">
        <f>IF(OR($G$4="MEDIA",$G$4="BASICA - TERCER CICLO"),ROUND(((AF59*$AF$11)+(AG59*$AG$11)+(AH59*$AH$11)+(AI59*$AI$11)+(AJ59*$AJ$11)*100)/35%,2),ROUND((AF59*$AF$11)+(AG59*$AG$11)+(AH59*$AH$11)+(AI59*$AI$11)+(AJ59*$AJ$11),2))</f>
        <v>0</v>
      </c>
      <c r="AL59" s="7"/>
      <c r="AM59" s="7"/>
      <c r="AN59" s="7"/>
      <c r="AO59" s="46">
        <f>IF(OR($G$4="MEDIA",$G$4="BASICA - TERCER CICLO"),ROUND(((AL59*$AL$11)+(AM59*$AM$11)+(AN59*$AN$11)*100)/30%,2),ROUND(((AL59*$AL$11)+(AM59*$AM$11)+(AN59*$AN$11)*100)/30%,2))</f>
        <v>0</v>
      </c>
      <c r="AP59" s="7"/>
      <c r="AQ59" s="14">
        <f>IF(OR($G$4="MEDIA",$G$4="BASICA - TERCER CICLO"),ROUND((AP59*$AP$11),2),ROUND((AP59*$AP$11),0))</f>
        <v>0</v>
      </c>
      <c r="AR59" s="47">
        <f>ROUND((AE59+AK59+AO59)/3,1)</f>
        <v>0</v>
      </c>
      <c r="AS59" s="7"/>
      <c r="AT59" s="7"/>
      <c r="AU59" s="7"/>
      <c r="AV59" s="7"/>
      <c r="AW59" s="7"/>
      <c r="AX59" s="46">
        <f>IF(OR($G$4="MEDIA",$G$4="BASICA - TERCER CICLO"),ROUND(((AS59*$AS$11)+(AT59*$AT$11)+(AU59*$AU$11)+(AV59*$AV$11)+(AW59*$AW$11)*100)/35%,2),ROUND((AS59*$AS$11)+(AT59*$AT$11)+(AU59*$AU$11)+(AV59*$AV$11)+(AW59*$AW$11),2))</f>
        <v>0</v>
      </c>
      <c r="AY59" s="7"/>
      <c r="AZ59" s="7"/>
      <c r="BA59" s="7"/>
      <c r="BB59" s="7"/>
      <c r="BC59" s="7"/>
      <c r="BD59" s="46">
        <f>IF(OR($G$4="MEDIA",$G$4="BASICA - TERCER CICLO"),ROUND(((AY59*$AY$11)+(AZ59*$AZ$11)+(BA59*$BA$11)+(BB59*$BB$11)+(BC59*$BC$11)*100)/35%,2),ROUND((AY59*$AY$11)+(AZ59*$AZ$11)+(BA59*$BA$11)+(BB59*$BB$11)+(BC59*$BC$11),2))</f>
        <v>0</v>
      </c>
      <c r="BE59" s="7"/>
      <c r="BF59" s="7"/>
      <c r="BG59" s="7"/>
      <c r="BH59" s="46">
        <f>IF(OR($G$4="MEDIA",$G$4="BASICA - TERCER CICLO"),ROUND(((BE59*$BE$11)+(BF59*$BF$11)+(BG59*$BG$11)*100)/30%,2),ROUND(((BE59*$BE$11)+(BF59*$BF$11)+(BG59*$BG$11)*100)/30%,2))</f>
        <v>0</v>
      </c>
      <c r="BI59" s="7"/>
      <c r="BJ59" s="14">
        <f>IF(OR($G$4="MEDIA",$G$4="BASICA - TERCER CICLO"),ROUND((BI59*$BI$11),2),ROUND((BI59*$BI$11),0))</f>
        <v>0</v>
      </c>
      <c r="BK59" s="47">
        <f>ROUND((AX59+BD59+BH59)/3,1)</f>
        <v>0</v>
      </c>
      <c r="BL59" s="7"/>
      <c r="BM59" s="7"/>
      <c r="BN59" s="7"/>
      <c r="BO59" s="7"/>
      <c r="BP59" s="7"/>
      <c r="BQ59" s="13">
        <f>IF(OR($G$4="MEDIA",$G$4="BASICA - TERCER CICLO"),ROUND(((BL59*$BL$11)+(BM59*$BM$11)+(BN59*$BN$11)+(BO59*$BO$11)+(BP59*$BP$11)*100)/35%,2),ROUND(((BL59*$BL$11)+(BM59*$BM$11)+(BN59*$BN$11)+(BO59*$BO$11)+(BP59*$BP$11)*100)/35%,2))</f>
        <v>0</v>
      </c>
      <c r="BR59" s="7"/>
      <c r="BS59" s="7"/>
      <c r="BT59" s="7"/>
      <c r="BU59" s="7"/>
      <c r="BV59" s="7"/>
      <c r="BW59" s="13">
        <f>IF(OR($G$4="MEDIA",$G$4="BASICA - TERCER CICLO"),ROUND(((BR59*$BR$11)+(BS59*$BS$11)+(BT59*$BT$11)+(BU59*$BU$11)+(BV59*$BV$11)*100)/35%,2),ROUND(((BR59*$BR$11)+(BS59*$BS$11)+(BT59*$BT$11)+(BU59*$BU$11)+(BV59*$BP$11)*100)/35%,2))</f>
        <v>0</v>
      </c>
      <c r="BX59" s="7"/>
      <c r="BY59" s="7"/>
      <c r="BZ59" s="7"/>
      <c r="CA59" s="13">
        <f>IF(OR($G$4="MEDIA",$G$4="BASICA - TERCER CICLO"),ROUND(((BX59*$BX$11)+(BY59*$BY$11)+(BZ59*$BZ$11)*100)/30%,2),ROUND(((BX59*$BX$11)+(BY59*$BY$11)+(BZ59*$BZ$11)*100)/30%,2))</f>
        <v>0</v>
      </c>
      <c r="CB59" s="7"/>
      <c r="CC59" s="14">
        <f>IF(OR($G$4="MEDIA",$G$4="BASICA - TERCER CICLO"),ROUND((CB59*$BI$11),2),ROUND((CB59*$BI$11),0))</f>
        <v>0</v>
      </c>
      <c r="CD59" s="28">
        <f>IF(OR($G$4="MEDIA",$G$4="BASICA - TERCER CICLO"),ROUND((BQ59+BW59+CA59+CC59),1),IF($G$4="BASICA",ROUND((BQ59+BW59+CA59+CC59),0),ROUND((BQ59+BW59+CA59+CC59),1)))</f>
        <v>0</v>
      </c>
      <c r="CE59" s="28">
        <f>IF($G$4 = "MEDIA",ROUND(((Y59+AR59+BK59+CD59)/4),0),ROUND(((Y59+AR59+BK59)/3),0))</f>
        <v>0</v>
      </c>
      <c r="CF59" s="20"/>
      <c r="CG59" s="28">
        <f>IF(AND(CE59&lt;5,$G$4="BASICA"),ROUND((CE59+CF59)/2,0),IF(AND(CE59&lt;6,$G$4="MEDIA"),ROUND((CE59+CF59)/2,0),CE59))</f>
        <v>0</v>
      </c>
      <c r="CH59" s="17" t="str">
        <f>IF($G$4="MEDIA",IF(CG59&gt;=6,"Aprobado","Reprobado"),IF(CG59&gt;=5,"Aprobado","Reprobado"))</f>
        <v>Reprobado</v>
      </c>
    </row>
    <row r="60" spans="1:86" customHeight="1" ht="20.25">
      <c r="A60" s="41">
        <v>48</v>
      </c>
      <c r="B60" s="3">
        <v>10522953</v>
      </c>
      <c r="C60" s="3">
        <v>4599</v>
      </c>
      <c r="D60" s="3">
        <v>26998</v>
      </c>
      <c r="E60" s="3" t="s">
        <v>85</v>
      </c>
      <c r="F60" s="42" t="s">
        <v>37</v>
      </c>
      <c r="G60" s="32"/>
      <c r="H60" s="12"/>
      <c r="I60" s="12"/>
      <c r="J60" s="12"/>
      <c r="K60" s="12"/>
      <c r="L60" s="46">
        <f>IF(OR($G$4="MEDIA",$G$4="BASICA - TERCER CICLO"),ROUND(((G60*$G$11)+(H60*$H$11)+(I60*$I$11)+(J60*$J$11)+(K60*$K$11)*100)/35%,2),ROUND((G60*$G$11)+(H60*$H$11)+(I60*$I$11)+(J60*$J$11)+(K60*$K$11),2))</f>
        <v>0</v>
      </c>
      <c r="M60" s="12"/>
      <c r="N60" s="12"/>
      <c r="O60" s="12"/>
      <c r="P60" s="12"/>
      <c r="Q60" s="12"/>
      <c r="R60" s="46">
        <f>IF(OR($G$4="MEDIA",$G$4="BASICA - TERCER CICLO"),ROUND(((M60*$M$11)+(N60*$N$11)+(O60*$O$11)+(P60*$P$11)+(Q60*$Q$11)*100)/35%,2),ROUND((M60*$M$11)+(N60*$N$11)+(O60*$O$11)+(P60*$P$11)+(Q60*$Q$11),2))</f>
        <v>0</v>
      </c>
      <c r="S60" s="12"/>
      <c r="T60" s="12"/>
      <c r="U60" s="12"/>
      <c r="V60" s="13">
        <f>IF(OR($G$4="MEDIA",$G$4="BASICA - TERCER CICLO"),ROUND(((S60*$S$11)+(T60*$T$11)+(U60*$U$11)*100)/30%,2),ROUND(((S60*$S$11)+(T60*$T$11)+(U60*$U$11)*100)/30%,2))</f>
        <v>0</v>
      </c>
      <c r="W60" s="12"/>
      <c r="X60" s="14">
        <f>IF(OR($G$4="MEDIA",$G$4="BASICA - TERCER CICLO"),ROUND((W60*$W$11),2),ROUND((W60*$W$11),0))</f>
        <v>0</v>
      </c>
      <c r="Y60" s="47">
        <f>ROUND((L60+R60+V60)/3,1)</f>
        <v>0</v>
      </c>
      <c r="Z60" s="12"/>
      <c r="AA60" s="12"/>
      <c r="AB60" s="12"/>
      <c r="AC60" s="12"/>
      <c r="AD60" s="12"/>
      <c r="AE60" s="46">
        <f>IF(OR($G$4="MEDIA",$G$4="BASICA - TERCER CICLO"),ROUND(((Z60*$Z$11)+(AA60*$AA$11)+(AB60*$AB$11)+(AC60*$AC$11)+(AD60*$AD$11)*100)/35%,2),ROUND((Z60*$Z$11)+(AA60*$AA$11)+(AB60*$AB$11)+(AC60*$AC$11)+(AD60*$AD$11),2))</f>
        <v>0</v>
      </c>
      <c r="AF60" s="12"/>
      <c r="AG60" s="12"/>
      <c r="AH60" s="12"/>
      <c r="AI60" s="12"/>
      <c r="AJ60" s="12"/>
      <c r="AK60" s="46">
        <f>IF(OR($G$4="MEDIA",$G$4="BASICA - TERCER CICLO"),ROUND(((AF60*$AF$11)+(AG60*$AG$11)+(AH60*$AH$11)+(AI60*$AI$11)+(AJ60*$AJ$11)*100)/35%,2),ROUND((AF60*$AF$11)+(AG60*$AG$11)+(AH60*$AH$11)+(AI60*$AI$11)+(AJ60*$AJ$11),2))</f>
        <v>0</v>
      </c>
      <c r="AL60" s="12"/>
      <c r="AM60" s="12"/>
      <c r="AN60" s="12"/>
      <c r="AO60" s="46">
        <f>IF(OR($G$4="MEDIA",$G$4="BASICA - TERCER CICLO"),ROUND(((AL60*$AL$11)+(AM60*$AM$11)+(AN60*$AN$11)*100)/30%,2),ROUND(((AL60*$AL$11)+(AM60*$AM$11)+(AN60*$AN$11)*100)/30%,2))</f>
        <v>0</v>
      </c>
      <c r="AP60" s="12"/>
      <c r="AQ60" s="14">
        <f>IF(OR($G$4="MEDIA",$G$4="BASICA - TERCER CICLO"),ROUND((AP60*$AP$11),2),ROUND((AP60*$AP$11),0))</f>
        <v>0</v>
      </c>
      <c r="AR60" s="47">
        <f>ROUND((AE60+AK60+AO60)/3,1)</f>
        <v>0</v>
      </c>
      <c r="AS60" s="12"/>
      <c r="AT60" s="12"/>
      <c r="AU60" s="12"/>
      <c r="AV60" s="12"/>
      <c r="AW60" s="12"/>
      <c r="AX60" s="46">
        <f>IF(OR($G$4="MEDIA",$G$4="BASICA - TERCER CICLO"),ROUND(((AS60*$AS$11)+(AT60*$AT$11)+(AU60*$AU$11)+(AV60*$AV$11)+(AW60*$AW$11)*100)/35%,2),ROUND((AS60*$AS$11)+(AT60*$AT$11)+(AU60*$AU$11)+(AV60*$AV$11)+(AW60*$AW$11),2))</f>
        <v>0</v>
      </c>
      <c r="AY60" s="12"/>
      <c r="AZ60" s="12"/>
      <c r="BA60" s="12"/>
      <c r="BB60" s="12"/>
      <c r="BC60" s="12"/>
      <c r="BD60" s="46">
        <f>IF(OR($G$4="MEDIA",$G$4="BASICA - TERCER CICLO"),ROUND(((AY60*$AY$11)+(AZ60*$AZ$11)+(BA60*$BA$11)+(BB60*$BB$11)+(BC60*$BC$11)*100)/35%,2),ROUND((AY60*$AY$11)+(AZ60*$AZ$11)+(BA60*$BA$11)+(BB60*$BB$11)+(BC60*$BC$11),2))</f>
        <v>0</v>
      </c>
      <c r="BE60" s="12"/>
      <c r="BF60" s="12"/>
      <c r="BG60" s="12"/>
      <c r="BH60" s="46">
        <f>IF(OR($G$4="MEDIA",$G$4="BASICA - TERCER CICLO"),ROUND(((BE60*$BE$11)+(BF60*$BF$11)+(BG60*$BG$11)*100)/30%,2),ROUND(((BE60*$BE$11)+(BF60*$BF$11)+(BG60*$BG$11)*100)/30%,2))</f>
        <v>0</v>
      </c>
      <c r="BI60" s="12"/>
      <c r="BJ60" s="14">
        <f>IF(OR($G$4="MEDIA",$G$4="BASICA - TERCER CICLO"),ROUND((BI60*$BI$11),2),ROUND((BI60*$BI$11),0))</f>
        <v>0</v>
      </c>
      <c r="BK60" s="47">
        <f>ROUND((AX60+BD60+BH60)/3,1)</f>
        <v>0</v>
      </c>
      <c r="BL60" s="12"/>
      <c r="BM60" s="12"/>
      <c r="BN60" s="12"/>
      <c r="BO60" s="12"/>
      <c r="BP60" s="12"/>
      <c r="BQ60" s="13">
        <f>IF(OR($G$4="MEDIA",$G$4="BASICA - TERCER CICLO"),ROUND(((BL60*$BL$11)+(BM60*$BM$11)+(BN60*$BN$11)+(BO60*$BO$11)+(BP60*$BP$11)*100)/35%,2),ROUND(((BL60*$BL$11)+(BM60*$BM$11)+(BN60*$BN$11)+(BO60*$BO$11)+(BP60*$BP$11)*100)/35%,2))</f>
        <v>0</v>
      </c>
      <c r="BR60" s="12"/>
      <c r="BS60" s="12"/>
      <c r="BT60" s="12"/>
      <c r="BU60" s="12"/>
      <c r="BV60" s="12"/>
      <c r="BW60" s="13">
        <f>IF(OR($G$4="MEDIA",$G$4="BASICA - TERCER CICLO"),ROUND(((BR60*$BR$11)+(BS60*$BS$11)+(BT60*$BT$11)+(BU60*$BU$11)+(BV60*$BV$11)*100)/35%,2),ROUND(((BR60*$BR$11)+(BS60*$BS$11)+(BT60*$BT$11)+(BU60*$BU$11)+(BV60*$BP$11)*100)/35%,2))</f>
        <v>0</v>
      </c>
      <c r="BX60" s="12"/>
      <c r="BY60" s="12"/>
      <c r="BZ60" s="12"/>
      <c r="CA60" s="13">
        <f>IF(OR($G$4="MEDIA",$G$4="BASICA - TERCER CICLO"),ROUND(((BX60*$BX$11)+(BY60*$BY$11)+(BZ60*$BZ$11)*100)/30%,2),ROUND(((BX60*$BX$11)+(BY60*$BY$11)+(BZ60*$BZ$11)*100)/30%,2))</f>
        <v>0</v>
      </c>
      <c r="CB60" s="12"/>
      <c r="CC60" s="14">
        <f>IF(OR($G$4="MEDIA",$G$4="BASICA - TERCER CICLO"),ROUND((CB60*$BI$11),2),ROUND((CB60*$BI$11),0))</f>
        <v>0</v>
      </c>
      <c r="CD60" s="28">
        <f>IF(OR($G$4="MEDIA",$G$4="BASICA - TERCER CICLO"),ROUND((BQ60+BW60+CA60+CC60),1),IF($G$4="BASICA",ROUND((BQ60+BW60+CA60+CC60),0),ROUND((BQ60+BW60+CA60+CC60),1)))</f>
        <v>0</v>
      </c>
      <c r="CE60" s="28">
        <f>IF($G$4 = "MEDIA",ROUND(((Y60+AR60+BK60+CD60)/4),0),ROUND(((Y60+AR60+BK60)/3),0))</f>
        <v>0</v>
      </c>
      <c r="CF60" s="21"/>
      <c r="CG60" s="28">
        <f>IF(AND(CE60&lt;5,$G$4="BASICA"),ROUND((CE60+CF60)/2,0),IF(AND(CE60&lt;6,$G$4="MEDIA"),ROUND((CE60+CF60)/2,0),CE60))</f>
        <v>0</v>
      </c>
      <c r="CH60" s="16" t="str">
        <f>IF($G$4="MEDIA",IF(CG60&gt;=6,"Aprobado","Reprobado"),IF(CG60&gt;=5,"Aprobado","Reprobado"))</f>
        <v>Reprobado</v>
      </c>
    </row>
    <row r="61" spans="1:86" customHeight="1" ht="20.25">
      <c r="A61" s="39">
        <v>49</v>
      </c>
      <c r="B61" s="2">
        <v>10334113</v>
      </c>
      <c r="C61" s="2">
        <v>5100</v>
      </c>
      <c r="D61" s="2">
        <v>26999</v>
      </c>
      <c r="E61" s="2" t="s">
        <v>86</v>
      </c>
      <c r="F61" s="40" t="s">
        <v>39</v>
      </c>
      <c r="G61" s="31"/>
      <c r="H61" s="7"/>
      <c r="I61" s="7"/>
      <c r="J61" s="7"/>
      <c r="K61" s="7"/>
      <c r="L61" s="46">
        <f>IF(OR($G$4="MEDIA",$G$4="BASICA - TERCER CICLO"),ROUND(((G61*$G$11)+(H61*$H$11)+(I61*$I$11)+(J61*$J$11)+(K61*$K$11)*100)/35%,2),ROUND((G61*$G$11)+(H61*$H$11)+(I61*$I$11)+(J61*$J$11)+(K61*$K$11),2))</f>
        <v>0</v>
      </c>
      <c r="M61" s="7"/>
      <c r="N61" s="7"/>
      <c r="O61" s="7"/>
      <c r="P61" s="7"/>
      <c r="Q61" s="7"/>
      <c r="R61" s="46">
        <f>IF(OR($G$4="MEDIA",$G$4="BASICA - TERCER CICLO"),ROUND(((M61*$M$11)+(N61*$N$11)+(O61*$O$11)+(P61*$P$11)+(Q61*$Q$11)*100)/35%,2),ROUND((M61*$M$11)+(N61*$N$11)+(O61*$O$11)+(P61*$P$11)+(Q61*$Q$11),2))</f>
        <v>0</v>
      </c>
      <c r="S61" s="7"/>
      <c r="T61" s="7"/>
      <c r="U61" s="7"/>
      <c r="V61" s="13">
        <f>IF(OR($G$4="MEDIA",$G$4="BASICA - TERCER CICLO"),ROUND(((S61*$S$11)+(T61*$T$11)+(U61*$U$11)*100)/30%,2),ROUND(((S61*$S$11)+(T61*$T$11)+(U61*$U$11)*100)/30%,2))</f>
        <v>0</v>
      </c>
      <c r="W61" s="7"/>
      <c r="X61" s="14">
        <f>IF(OR($G$4="MEDIA",$G$4="BASICA - TERCER CICLO"),ROUND((W61*$W$11),2),ROUND((W61*$W$11),0))</f>
        <v>0</v>
      </c>
      <c r="Y61" s="47">
        <f>ROUND((L61+R61+V61)/3,1)</f>
        <v>0</v>
      </c>
      <c r="Z61" s="7"/>
      <c r="AA61" s="7"/>
      <c r="AB61" s="7"/>
      <c r="AC61" s="7"/>
      <c r="AD61" s="7"/>
      <c r="AE61" s="46">
        <f>IF(OR($G$4="MEDIA",$G$4="BASICA - TERCER CICLO"),ROUND(((Z61*$Z$11)+(AA61*$AA$11)+(AB61*$AB$11)+(AC61*$AC$11)+(AD61*$AD$11)*100)/35%,2),ROUND((Z61*$Z$11)+(AA61*$AA$11)+(AB61*$AB$11)+(AC61*$AC$11)+(AD61*$AD$11),2))</f>
        <v>0</v>
      </c>
      <c r="AF61" s="7"/>
      <c r="AG61" s="7"/>
      <c r="AH61" s="7"/>
      <c r="AI61" s="7"/>
      <c r="AJ61" s="7"/>
      <c r="AK61" s="46">
        <f>IF(OR($G$4="MEDIA",$G$4="BASICA - TERCER CICLO"),ROUND(((AF61*$AF$11)+(AG61*$AG$11)+(AH61*$AH$11)+(AI61*$AI$11)+(AJ61*$AJ$11)*100)/35%,2),ROUND((AF61*$AF$11)+(AG61*$AG$11)+(AH61*$AH$11)+(AI61*$AI$11)+(AJ61*$AJ$11),2))</f>
        <v>0</v>
      </c>
      <c r="AL61" s="7"/>
      <c r="AM61" s="7"/>
      <c r="AN61" s="7"/>
      <c r="AO61" s="46">
        <f>IF(OR($G$4="MEDIA",$G$4="BASICA - TERCER CICLO"),ROUND(((AL61*$AL$11)+(AM61*$AM$11)+(AN61*$AN$11)*100)/30%,2),ROUND(((AL61*$AL$11)+(AM61*$AM$11)+(AN61*$AN$11)*100)/30%,2))</f>
        <v>0</v>
      </c>
      <c r="AP61" s="7"/>
      <c r="AQ61" s="14">
        <f>IF(OR($G$4="MEDIA",$G$4="BASICA - TERCER CICLO"),ROUND((AP61*$AP$11),2),ROUND((AP61*$AP$11),0))</f>
        <v>0</v>
      </c>
      <c r="AR61" s="47">
        <f>ROUND((AE61+AK61+AO61)/3,1)</f>
        <v>0</v>
      </c>
      <c r="AS61" s="7"/>
      <c r="AT61" s="7"/>
      <c r="AU61" s="7"/>
      <c r="AV61" s="7"/>
      <c r="AW61" s="7"/>
      <c r="AX61" s="46">
        <f>IF(OR($G$4="MEDIA",$G$4="BASICA - TERCER CICLO"),ROUND(((AS61*$AS$11)+(AT61*$AT$11)+(AU61*$AU$11)+(AV61*$AV$11)+(AW61*$AW$11)*100)/35%,2),ROUND((AS61*$AS$11)+(AT61*$AT$11)+(AU61*$AU$11)+(AV61*$AV$11)+(AW61*$AW$11),2))</f>
        <v>0</v>
      </c>
      <c r="AY61" s="7"/>
      <c r="AZ61" s="7"/>
      <c r="BA61" s="7"/>
      <c r="BB61" s="7"/>
      <c r="BC61" s="7"/>
      <c r="BD61" s="46">
        <f>IF(OR($G$4="MEDIA",$G$4="BASICA - TERCER CICLO"),ROUND(((AY61*$AY$11)+(AZ61*$AZ$11)+(BA61*$BA$11)+(BB61*$BB$11)+(BC61*$BC$11)*100)/35%,2),ROUND((AY61*$AY$11)+(AZ61*$AZ$11)+(BA61*$BA$11)+(BB61*$BB$11)+(BC61*$BC$11),2))</f>
        <v>0</v>
      </c>
      <c r="BE61" s="7"/>
      <c r="BF61" s="7"/>
      <c r="BG61" s="7"/>
      <c r="BH61" s="46">
        <f>IF(OR($G$4="MEDIA",$G$4="BASICA - TERCER CICLO"),ROUND(((BE61*$BE$11)+(BF61*$BF$11)+(BG61*$BG$11)*100)/30%,2),ROUND(((BE61*$BE$11)+(BF61*$BF$11)+(BG61*$BG$11)*100)/30%,2))</f>
        <v>0</v>
      </c>
      <c r="BI61" s="7"/>
      <c r="BJ61" s="14">
        <f>IF(OR($G$4="MEDIA",$G$4="BASICA - TERCER CICLO"),ROUND((BI61*$BI$11),2),ROUND((BI61*$BI$11),0))</f>
        <v>0</v>
      </c>
      <c r="BK61" s="47">
        <f>ROUND((AX61+BD61+BH61)/3,1)</f>
        <v>0</v>
      </c>
      <c r="BL61" s="7"/>
      <c r="BM61" s="7"/>
      <c r="BN61" s="7"/>
      <c r="BO61" s="7"/>
      <c r="BP61" s="7"/>
      <c r="BQ61" s="13">
        <f>IF(OR($G$4="MEDIA",$G$4="BASICA - TERCER CICLO"),ROUND(((BL61*$BL$11)+(BM61*$BM$11)+(BN61*$BN$11)+(BO61*$BO$11)+(BP61*$BP$11)*100)/35%,2),ROUND(((BL61*$BL$11)+(BM61*$BM$11)+(BN61*$BN$11)+(BO61*$BO$11)+(BP61*$BP$11)*100)/35%,2))</f>
        <v>0</v>
      </c>
      <c r="BR61" s="7"/>
      <c r="BS61" s="7"/>
      <c r="BT61" s="7"/>
      <c r="BU61" s="7"/>
      <c r="BV61" s="7"/>
      <c r="BW61" s="13">
        <f>IF(OR($G$4="MEDIA",$G$4="BASICA - TERCER CICLO"),ROUND(((BR61*$BR$11)+(BS61*$BS$11)+(BT61*$BT$11)+(BU61*$BU$11)+(BV61*$BV$11)*100)/35%,2),ROUND(((BR61*$BR$11)+(BS61*$BS$11)+(BT61*$BT$11)+(BU61*$BU$11)+(BV61*$BP$11)*100)/35%,2))</f>
        <v>0</v>
      </c>
      <c r="BX61" s="7"/>
      <c r="BY61" s="7"/>
      <c r="BZ61" s="7"/>
      <c r="CA61" s="13">
        <f>IF(OR($G$4="MEDIA",$G$4="BASICA - TERCER CICLO"),ROUND(((BX61*$BX$11)+(BY61*$BY$11)+(BZ61*$BZ$11)*100)/30%,2),ROUND(((BX61*$BX$11)+(BY61*$BY$11)+(BZ61*$BZ$11)*100)/30%,2))</f>
        <v>0</v>
      </c>
      <c r="CB61" s="7"/>
      <c r="CC61" s="14">
        <f>IF(OR($G$4="MEDIA",$G$4="BASICA - TERCER CICLO"),ROUND((CB61*$BI$11),2),ROUND((CB61*$BI$11),0))</f>
        <v>0</v>
      </c>
      <c r="CD61" s="28">
        <f>IF(OR($G$4="MEDIA",$G$4="BASICA - TERCER CICLO"),ROUND((BQ61+BW61+CA61+CC61),1),IF($G$4="BASICA",ROUND((BQ61+BW61+CA61+CC61),0),ROUND((BQ61+BW61+CA61+CC61),1)))</f>
        <v>0</v>
      </c>
      <c r="CE61" s="28">
        <f>IF($G$4 = "MEDIA",ROUND(((Y61+AR61+BK61+CD61)/4),0),ROUND(((Y61+AR61+BK61)/3),0))</f>
        <v>0</v>
      </c>
      <c r="CF61" s="20"/>
      <c r="CG61" s="28">
        <f>IF(AND(CE61&lt;5,$G$4="BASICA"),ROUND((CE61+CF61)/2,0),IF(AND(CE61&lt;6,$G$4="MEDIA"),ROUND((CE61+CF61)/2,0),CE61))</f>
        <v>0</v>
      </c>
      <c r="CH61" s="17" t="str">
        <f>IF($G$4="MEDIA",IF(CG61&gt;=6,"Aprobado","Reprobado"),IF(CG61&gt;=5,"Aprobado","Reprobado"))</f>
        <v>Reprobado</v>
      </c>
    </row>
    <row r="62" spans="1:86" customHeight="1" ht="20.25">
      <c r="A62" s="41">
        <v>50</v>
      </c>
      <c r="B62" s="3">
        <v>10282536</v>
      </c>
      <c r="C62" s="3">
        <v>4400</v>
      </c>
      <c r="D62" s="3">
        <v>27000</v>
      </c>
      <c r="E62" s="3" t="s">
        <v>87</v>
      </c>
      <c r="F62" s="42" t="s">
        <v>39</v>
      </c>
      <c r="G62" s="32"/>
      <c r="H62" s="12"/>
      <c r="I62" s="12"/>
      <c r="J62" s="12"/>
      <c r="K62" s="12"/>
      <c r="L62" s="46">
        <f>IF(OR($G$4="MEDIA",$G$4="BASICA - TERCER CICLO"),ROUND(((G62*$G$11)+(H62*$H$11)+(I62*$I$11)+(J62*$J$11)+(K62*$K$11)*100)/35%,2),ROUND((G62*$G$11)+(H62*$H$11)+(I62*$I$11)+(J62*$J$11)+(K62*$K$11),2))</f>
        <v>0</v>
      </c>
      <c r="M62" s="12"/>
      <c r="N62" s="12"/>
      <c r="O62" s="12"/>
      <c r="P62" s="12"/>
      <c r="Q62" s="12"/>
      <c r="R62" s="46">
        <f>IF(OR($G$4="MEDIA",$G$4="BASICA - TERCER CICLO"),ROUND(((M62*$M$11)+(N62*$N$11)+(O62*$O$11)+(P62*$P$11)+(Q62*$Q$11)*100)/35%,2),ROUND((M62*$M$11)+(N62*$N$11)+(O62*$O$11)+(P62*$P$11)+(Q62*$Q$11),2))</f>
        <v>0</v>
      </c>
      <c r="S62" s="12"/>
      <c r="T62" s="12"/>
      <c r="U62" s="12"/>
      <c r="V62" s="13">
        <f>IF(OR($G$4="MEDIA",$G$4="BASICA - TERCER CICLO"),ROUND(((S62*$S$11)+(T62*$T$11)+(U62*$U$11)*100)/30%,2),ROUND(((S62*$S$11)+(T62*$T$11)+(U62*$U$11)*100)/30%,2))</f>
        <v>0</v>
      </c>
      <c r="W62" s="12"/>
      <c r="X62" s="14">
        <f>IF(OR($G$4="MEDIA",$G$4="BASICA - TERCER CICLO"),ROUND((W62*$W$11),2),ROUND((W62*$W$11),0))</f>
        <v>0</v>
      </c>
      <c r="Y62" s="47">
        <f>ROUND((L62+R62+V62)/3,1)</f>
        <v>0</v>
      </c>
      <c r="Z62" s="12"/>
      <c r="AA62" s="12"/>
      <c r="AB62" s="12"/>
      <c r="AC62" s="12"/>
      <c r="AD62" s="12"/>
      <c r="AE62" s="46">
        <f>IF(OR($G$4="MEDIA",$G$4="BASICA - TERCER CICLO"),ROUND(((Z62*$Z$11)+(AA62*$AA$11)+(AB62*$AB$11)+(AC62*$AC$11)+(AD62*$AD$11)*100)/35%,2),ROUND((Z62*$Z$11)+(AA62*$AA$11)+(AB62*$AB$11)+(AC62*$AC$11)+(AD62*$AD$11),2))</f>
        <v>0</v>
      </c>
      <c r="AF62" s="12"/>
      <c r="AG62" s="12"/>
      <c r="AH62" s="12"/>
      <c r="AI62" s="12"/>
      <c r="AJ62" s="12"/>
      <c r="AK62" s="46">
        <f>IF(OR($G$4="MEDIA",$G$4="BASICA - TERCER CICLO"),ROUND(((AF62*$AF$11)+(AG62*$AG$11)+(AH62*$AH$11)+(AI62*$AI$11)+(AJ62*$AJ$11)*100)/35%,2),ROUND((AF62*$AF$11)+(AG62*$AG$11)+(AH62*$AH$11)+(AI62*$AI$11)+(AJ62*$AJ$11),2))</f>
        <v>0</v>
      </c>
      <c r="AL62" s="12"/>
      <c r="AM62" s="12"/>
      <c r="AN62" s="12"/>
      <c r="AO62" s="46">
        <f>IF(OR($G$4="MEDIA",$G$4="BASICA - TERCER CICLO"),ROUND(((AL62*$AL$11)+(AM62*$AM$11)+(AN62*$AN$11)*100)/30%,2),ROUND(((AL62*$AL$11)+(AM62*$AM$11)+(AN62*$AN$11)*100)/30%,2))</f>
        <v>0</v>
      </c>
      <c r="AP62" s="12"/>
      <c r="AQ62" s="14">
        <f>IF(OR($G$4="MEDIA",$G$4="BASICA - TERCER CICLO"),ROUND((AP62*$AP$11),2),ROUND((AP62*$AP$11),0))</f>
        <v>0</v>
      </c>
      <c r="AR62" s="47">
        <f>ROUND((AE62+AK62+AO62)/3,1)</f>
        <v>0</v>
      </c>
      <c r="AS62" s="12"/>
      <c r="AT62" s="12"/>
      <c r="AU62" s="12"/>
      <c r="AV62" s="12"/>
      <c r="AW62" s="12"/>
      <c r="AX62" s="46">
        <f>IF(OR($G$4="MEDIA",$G$4="BASICA - TERCER CICLO"),ROUND(((AS62*$AS$11)+(AT62*$AT$11)+(AU62*$AU$11)+(AV62*$AV$11)+(AW62*$AW$11)*100)/35%,2),ROUND((AS62*$AS$11)+(AT62*$AT$11)+(AU62*$AU$11)+(AV62*$AV$11)+(AW62*$AW$11),2))</f>
        <v>0</v>
      </c>
      <c r="AY62" s="12"/>
      <c r="AZ62" s="12"/>
      <c r="BA62" s="12"/>
      <c r="BB62" s="12"/>
      <c r="BC62" s="12"/>
      <c r="BD62" s="46">
        <f>IF(OR($G$4="MEDIA",$G$4="BASICA - TERCER CICLO"),ROUND(((AY62*$AY$11)+(AZ62*$AZ$11)+(BA62*$BA$11)+(BB62*$BB$11)+(BC62*$BC$11)*100)/35%,2),ROUND((AY62*$AY$11)+(AZ62*$AZ$11)+(BA62*$BA$11)+(BB62*$BB$11)+(BC62*$BC$11),2))</f>
        <v>0</v>
      </c>
      <c r="BE62" s="12"/>
      <c r="BF62" s="12"/>
      <c r="BG62" s="12"/>
      <c r="BH62" s="46">
        <f>IF(OR($G$4="MEDIA",$G$4="BASICA - TERCER CICLO"),ROUND(((BE62*$BE$11)+(BF62*$BF$11)+(BG62*$BG$11)*100)/30%,2),ROUND(((BE62*$BE$11)+(BF62*$BF$11)+(BG62*$BG$11)*100)/30%,2))</f>
        <v>0</v>
      </c>
      <c r="BI62" s="12"/>
      <c r="BJ62" s="14">
        <f>IF(OR($G$4="MEDIA",$G$4="BASICA - TERCER CICLO"),ROUND((BI62*$BI$11),2),ROUND((BI62*$BI$11),0))</f>
        <v>0</v>
      </c>
      <c r="BK62" s="47">
        <f>ROUND((AX62+BD62+BH62)/3,1)</f>
        <v>0</v>
      </c>
      <c r="BL62" s="12"/>
      <c r="BM62" s="12"/>
      <c r="BN62" s="12"/>
      <c r="BO62" s="12"/>
      <c r="BP62" s="12"/>
      <c r="BQ62" s="13">
        <f>IF(OR($G$4="MEDIA",$G$4="BASICA - TERCER CICLO"),ROUND(((BL62*$BL$11)+(BM62*$BM$11)+(BN62*$BN$11)+(BO62*$BO$11)+(BP62*$BP$11)*100)/35%,2),ROUND(((BL62*$BL$11)+(BM62*$BM$11)+(BN62*$BN$11)+(BO62*$BO$11)+(BP62*$BP$11)*100)/35%,2))</f>
        <v>0</v>
      </c>
      <c r="BR62" s="12"/>
      <c r="BS62" s="12"/>
      <c r="BT62" s="12"/>
      <c r="BU62" s="12"/>
      <c r="BV62" s="12"/>
      <c r="BW62" s="13">
        <f>IF(OR($G$4="MEDIA",$G$4="BASICA - TERCER CICLO"),ROUND(((BR62*$BR$11)+(BS62*$BS$11)+(BT62*$BT$11)+(BU62*$BU$11)+(BV62*$BV$11)*100)/35%,2),ROUND(((BR62*$BR$11)+(BS62*$BS$11)+(BT62*$BT$11)+(BU62*$BU$11)+(BV62*$BP$11)*100)/35%,2))</f>
        <v>0</v>
      </c>
      <c r="BX62" s="12"/>
      <c r="BY62" s="12"/>
      <c r="BZ62" s="12"/>
      <c r="CA62" s="13">
        <f>IF(OR($G$4="MEDIA",$G$4="BASICA - TERCER CICLO"),ROUND(((BX62*$BX$11)+(BY62*$BY$11)+(BZ62*$BZ$11)*100)/30%,2),ROUND(((BX62*$BX$11)+(BY62*$BY$11)+(BZ62*$BZ$11)*100)/30%,2))</f>
        <v>0</v>
      </c>
      <c r="CB62" s="12"/>
      <c r="CC62" s="14">
        <f>IF(OR($G$4="MEDIA",$G$4="BASICA - TERCER CICLO"),ROUND((CB62*$BI$11),2),ROUND((CB62*$BI$11),0))</f>
        <v>0</v>
      </c>
      <c r="CD62" s="28">
        <f>IF(OR($G$4="MEDIA",$G$4="BASICA - TERCER CICLO"),ROUND((BQ62+BW62+CA62+CC62),1),IF($G$4="BASICA",ROUND((BQ62+BW62+CA62+CC62),0),ROUND((BQ62+BW62+CA62+CC62),1)))</f>
        <v>0</v>
      </c>
      <c r="CE62" s="28">
        <f>IF($G$4 = "MEDIA",ROUND(((Y62+AR62+BK62+CD62)/4),0),ROUND(((Y62+AR62+BK62)/3),0))</f>
        <v>0</v>
      </c>
      <c r="CF62" s="21"/>
      <c r="CG62" s="28">
        <f>IF(AND(CE62&lt;5,$G$4="BASICA"),ROUND((CE62+CF62)/2,0),IF(AND(CE62&lt;6,$G$4="MEDIA"),ROUND((CE62+CF62)/2,0),CE62))</f>
        <v>0</v>
      </c>
      <c r="CH62" s="16" t="str">
        <f>IF($G$4="MEDIA",IF(CG62&gt;=6,"Aprobado","Reprobado"),IF(CG62&gt;=5,"Aprobado","Reprobado"))</f>
        <v>Reprobado</v>
      </c>
    </row>
    <row r="63" spans="1:86" customHeight="1" ht="20.25">
      <c r="A63" s="39">
        <v>51</v>
      </c>
      <c r="B63" s="2">
        <v>10353904</v>
      </c>
      <c r="C63" s="2">
        <v>5060</v>
      </c>
      <c r="D63" s="2">
        <v>26967</v>
      </c>
      <c r="E63" s="2" t="s">
        <v>88</v>
      </c>
      <c r="F63" s="40" t="s">
        <v>37</v>
      </c>
      <c r="G63" s="31"/>
      <c r="H63" s="7"/>
      <c r="I63" s="7"/>
      <c r="J63" s="7"/>
      <c r="K63" s="7"/>
      <c r="L63" s="46">
        <f>IF(OR($G$4="MEDIA",$G$4="BASICA - TERCER CICLO"),ROUND(((G63*$G$11)+(H63*$H$11)+(I63*$I$11)+(J63*$J$11)+(K63*$K$11)*100)/35%,2),ROUND((G63*$G$11)+(H63*$H$11)+(I63*$I$11)+(J63*$J$11)+(K63*$K$11),2))</f>
        <v>0</v>
      </c>
      <c r="M63" s="7"/>
      <c r="N63" s="7"/>
      <c r="O63" s="7"/>
      <c r="P63" s="7"/>
      <c r="Q63" s="7"/>
      <c r="R63" s="46">
        <f>IF(OR($G$4="MEDIA",$G$4="BASICA - TERCER CICLO"),ROUND(((M63*$M$11)+(N63*$N$11)+(O63*$O$11)+(P63*$P$11)+(Q63*$Q$11)*100)/35%,2),ROUND((M63*$M$11)+(N63*$N$11)+(O63*$O$11)+(P63*$P$11)+(Q63*$Q$11),2))</f>
        <v>0</v>
      </c>
      <c r="S63" s="7"/>
      <c r="T63" s="7"/>
      <c r="U63" s="7"/>
      <c r="V63" s="13">
        <f>IF(OR($G$4="MEDIA",$G$4="BASICA - TERCER CICLO"),ROUND(((S63*$S$11)+(T63*$T$11)+(U63*$U$11)*100)/30%,2),ROUND(((S63*$S$11)+(T63*$T$11)+(U63*$U$11)*100)/30%,2))</f>
        <v>0</v>
      </c>
      <c r="W63" s="7"/>
      <c r="X63" s="14">
        <f>IF(OR($G$4="MEDIA",$G$4="BASICA - TERCER CICLO"),ROUND((W63*$W$11),2),ROUND((W63*$W$11),0))</f>
        <v>0</v>
      </c>
      <c r="Y63" s="47">
        <f>ROUND((L63+R63+V63)/3,1)</f>
        <v>0</v>
      </c>
      <c r="Z63" s="7"/>
      <c r="AA63" s="7"/>
      <c r="AB63" s="7"/>
      <c r="AC63" s="7"/>
      <c r="AD63" s="7"/>
      <c r="AE63" s="46">
        <f>IF(OR($G$4="MEDIA",$G$4="BASICA - TERCER CICLO"),ROUND(((Z63*$Z$11)+(AA63*$AA$11)+(AB63*$AB$11)+(AC63*$AC$11)+(AD63*$AD$11)*100)/35%,2),ROUND((Z63*$Z$11)+(AA63*$AA$11)+(AB63*$AB$11)+(AC63*$AC$11)+(AD63*$AD$11),2))</f>
        <v>0</v>
      </c>
      <c r="AF63" s="7"/>
      <c r="AG63" s="7"/>
      <c r="AH63" s="7"/>
      <c r="AI63" s="7"/>
      <c r="AJ63" s="7"/>
      <c r="AK63" s="46">
        <f>IF(OR($G$4="MEDIA",$G$4="BASICA - TERCER CICLO"),ROUND(((AF63*$AF$11)+(AG63*$AG$11)+(AH63*$AH$11)+(AI63*$AI$11)+(AJ63*$AJ$11)*100)/35%,2),ROUND((AF63*$AF$11)+(AG63*$AG$11)+(AH63*$AH$11)+(AI63*$AI$11)+(AJ63*$AJ$11),2))</f>
        <v>0</v>
      </c>
      <c r="AL63" s="7"/>
      <c r="AM63" s="7"/>
      <c r="AN63" s="7"/>
      <c r="AO63" s="46">
        <f>IF(OR($G$4="MEDIA",$G$4="BASICA - TERCER CICLO"),ROUND(((AL63*$AL$11)+(AM63*$AM$11)+(AN63*$AN$11)*100)/30%,2),ROUND(((AL63*$AL$11)+(AM63*$AM$11)+(AN63*$AN$11)*100)/30%,2))</f>
        <v>0</v>
      </c>
      <c r="AP63" s="7"/>
      <c r="AQ63" s="14">
        <f>IF(OR($G$4="MEDIA",$G$4="BASICA - TERCER CICLO"),ROUND((AP63*$AP$11),2),ROUND((AP63*$AP$11),0))</f>
        <v>0</v>
      </c>
      <c r="AR63" s="47">
        <f>ROUND((AE63+AK63+AO63)/3,1)</f>
        <v>0</v>
      </c>
      <c r="AS63" s="7"/>
      <c r="AT63" s="7"/>
      <c r="AU63" s="7"/>
      <c r="AV63" s="7"/>
      <c r="AW63" s="7"/>
      <c r="AX63" s="46">
        <f>IF(OR($G$4="MEDIA",$G$4="BASICA - TERCER CICLO"),ROUND(((AS63*$AS$11)+(AT63*$AT$11)+(AU63*$AU$11)+(AV63*$AV$11)+(AW63*$AW$11)*100)/35%,2),ROUND((AS63*$AS$11)+(AT63*$AT$11)+(AU63*$AU$11)+(AV63*$AV$11)+(AW63*$AW$11),2))</f>
        <v>0</v>
      </c>
      <c r="AY63" s="7"/>
      <c r="AZ63" s="7"/>
      <c r="BA63" s="7"/>
      <c r="BB63" s="7"/>
      <c r="BC63" s="7"/>
      <c r="BD63" s="46">
        <f>IF(OR($G$4="MEDIA",$G$4="BASICA - TERCER CICLO"),ROUND(((AY63*$AY$11)+(AZ63*$AZ$11)+(BA63*$BA$11)+(BB63*$BB$11)+(BC63*$BC$11)*100)/35%,2),ROUND((AY63*$AY$11)+(AZ63*$AZ$11)+(BA63*$BA$11)+(BB63*$BB$11)+(BC63*$BC$11),2))</f>
        <v>0</v>
      </c>
      <c r="BE63" s="7"/>
      <c r="BF63" s="7"/>
      <c r="BG63" s="7"/>
      <c r="BH63" s="46">
        <f>IF(OR($G$4="MEDIA",$G$4="BASICA - TERCER CICLO"),ROUND(((BE63*$BE$11)+(BF63*$BF$11)+(BG63*$BG$11)*100)/30%,2),ROUND(((BE63*$BE$11)+(BF63*$BF$11)+(BG63*$BG$11)*100)/30%,2))</f>
        <v>0</v>
      </c>
      <c r="BI63" s="7"/>
      <c r="BJ63" s="14">
        <f>IF(OR($G$4="MEDIA",$G$4="BASICA - TERCER CICLO"),ROUND((BI63*$BI$11),2),ROUND((BI63*$BI$11),0))</f>
        <v>0</v>
      </c>
      <c r="BK63" s="47">
        <f>ROUND((AX63+BD63+BH63)/3,1)</f>
        <v>0</v>
      </c>
      <c r="BL63" s="7"/>
      <c r="BM63" s="7"/>
      <c r="BN63" s="7"/>
      <c r="BO63" s="7"/>
      <c r="BP63" s="7"/>
      <c r="BQ63" s="13">
        <f>IF(OR($G$4="MEDIA",$G$4="BASICA - TERCER CICLO"),ROUND(((BL63*$BL$11)+(BM63*$BM$11)+(BN63*$BN$11)+(BO63*$BO$11)+(BP63*$BP$11)*100)/35%,2),ROUND(((BL63*$BL$11)+(BM63*$BM$11)+(BN63*$BN$11)+(BO63*$BO$11)+(BP63*$BP$11)*100)/35%,2))</f>
        <v>0</v>
      </c>
      <c r="BR63" s="7"/>
      <c r="BS63" s="7"/>
      <c r="BT63" s="7"/>
      <c r="BU63" s="7"/>
      <c r="BV63" s="7"/>
      <c r="BW63" s="13">
        <f>IF(OR($G$4="MEDIA",$G$4="BASICA - TERCER CICLO"),ROUND(((BR63*$BR$11)+(BS63*$BS$11)+(BT63*$BT$11)+(BU63*$BU$11)+(BV63*$BV$11)*100)/35%,2),ROUND(((BR63*$BR$11)+(BS63*$BS$11)+(BT63*$BT$11)+(BU63*$BU$11)+(BV63*$BP$11)*100)/35%,2))</f>
        <v>0</v>
      </c>
      <c r="BX63" s="7"/>
      <c r="BY63" s="7"/>
      <c r="BZ63" s="7"/>
      <c r="CA63" s="13">
        <f>IF(OR($G$4="MEDIA",$G$4="BASICA - TERCER CICLO"),ROUND(((BX63*$BX$11)+(BY63*$BY$11)+(BZ63*$BZ$11)*100)/30%,2),ROUND(((BX63*$BX$11)+(BY63*$BY$11)+(BZ63*$BZ$11)*100)/30%,2))</f>
        <v>0</v>
      </c>
      <c r="CB63" s="7"/>
      <c r="CC63" s="14">
        <f>IF(OR($G$4="MEDIA",$G$4="BASICA - TERCER CICLO"),ROUND((CB63*$BI$11),2),ROUND((CB63*$BI$11),0))</f>
        <v>0</v>
      </c>
      <c r="CD63" s="28">
        <f>IF(OR($G$4="MEDIA",$G$4="BASICA - TERCER CICLO"),ROUND((BQ63+BW63+CA63+CC63),1),IF($G$4="BASICA",ROUND((BQ63+BW63+CA63+CC63),0),ROUND((BQ63+BW63+CA63+CC63),1)))</f>
        <v>0</v>
      </c>
      <c r="CE63" s="28">
        <f>IF($G$4 = "MEDIA",ROUND(((Y63+AR63+BK63+CD63)/4),0),ROUND(((Y63+AR63+BK63)/3),0))</f>
        <v>0</v>
      </c>
      <c r="CF63" s="20"/>
      <c r="CG63" s="28">
        <f>IF(AND(CE63&lt;5,$G$4="BASICA"),ROUND((CE63+CF63)/2,0),IF(AND(CE63&lt;6,$G$4="MEDIA"),ROUND((CE63+CF63)/2,0),CE63))</f>
        <v>0</v>
      </c>
      <c r="CH63" s="17" t="str">
        <f>IF($G$4="MEDIA",IF(CG63&gt;=6,"Aprobado","Reprobado"),IF(CG63&gt;=5,"Aprobado","Reprobado"))</f>
        <v>Reprobado</v>
      </c>
    </row>
    <row r="64" spans="1:86" customHeight="1" ht="20.25">
      <c r="A64" s="41">
        <v>52</v>
      </c>
      <c r="B64" s="3">
        <v>10795807</v>
      </c>
      <c r="C64" s="3">
        <v>5839</v>
      </c>
      <c r="D64" s="3">
        <v>27001</v>
      </c>
      <c r="E64" s="3" t="s">
        <v>89</v>
      </c>
      <c r="F64" s="42" t="s">
        <v>37</v>
      </c>
      <c r="G64" s="32"/>
      <c r="H64" s="12"/>
      <c r="I64" s="12"/>
      <c r="J64" s="12"/>
      <c r="K64" s="12"/>
      <c r="L64" s="46">
        <f>IF(OR($G$4="MEDIA",$G$4="BASICA - TERCER CICLO"),ROUND(((G64*$G$11)+(H64*$H$11)+(I64*$I$11)+(J64*$J$11)+(K64*$K$11)*100)/35%,2),ROUND((G64*$G$11)+(H64*$H$11)+(I64*$I$11)+(J64*$J$11)+(K64*$K$11),2))</f>
        <v>0</v>
      </c>
      <c r="M64" s="12"/>
      <c r="N64" s="12"/>
      <c r="O64" s="12"/>
      <c r="P64" s="12"/>
      <c r="Q64" s="12"/>
      <c r="R64" s="46">
        <f>IF(OR($G$4="MEDIA",$G$4="BASICA - TERCER CICLO"),ROUND(((M64*$M$11)+(N64*$N$11)+(O64*$O$11)+(P64*$P$11)+(Q64*$Q$11)*100)/35%,2),ROUND((M64*$M$11)+(N64*$N$11)+(O64*$O$11)+(P64*$P$11)+(Q64*$Q$11),2))</f>
        <v>0</v>
      </c>
      <c r="S64" s="12"/>
      <c r="T64" s="12"/>
      <c r="U64" s="12"/>
      <c r="V64" s="13">
        <f>IF(OR($G$4="MEDIA",$G$4="BASICA - TERCER CICLO"),ROUND(((S64*$S$11)+(T64*$T$11)+(U64*$U$11)*100)/30%,2),ROUND(((S64*$S$11)+(T64*$T$11)+(U64*$U$11)*100)/30%,2))</f>
        <v>0</v>
      </c>
      <c r="W64" s="12"/>
      <c r="X64" s="14">
        <f>IF(OR($G$4="MEDIA",$G$4="BASICA - TERCER CICLO"),ROUND((W64*$W$11),2),ROUND((W64*$W$11),0))</f>
        <v>0</v>
      </c>
      <c r="Y64" s="47">
        <f>ROUND((L64+R64+V64)/3,1)</f>
        <v>0</v>
      </c>
      <c r="Z64" s="12"/>
      <c r="AA64" s="12"/>
      <c r="AB64" s="12"/>
      <c r="AC64" s="12"/>
      <c r="AD64" s="12"/>
      <c r="AE64" s="46">
        <f>IF(OR($G$4="MEDIA",$G$4="BASICA - TERCER CICLO"),ROUND(((Z64*$Z$11)+(AA64*$AA$11)+(AB64*$AB$11)+(AC64*$AC$11)+(AD64*$AD$11)*100)/35%,2),ROUND((Z64*$Z$11)+(AA64*$AA$11)+(AB64*$AB$11)+(AC64*$AC$11)+(AD64*$AD$11),2))</f>
        <v>0</v>
      </c>
      <c r="AF64" s="12"/>
      <c r="AG64" s="12"/>
      <c r="AH64" s="12"/>
      <c r="AI64" s="12"/>
      <c r="AJ64" s="12"/>
      <c r="AK64" s="46">
        <f>IF(OR($G$4="MEDIA",$G$4="BASICA - TERCER CICLO"),ROUND(((AF64*$AF$11)+(AG64*$AG$11)+(AH64*$AH$11)+(AI64*$AI$11)+(AJ64*$AJ$11)*100)/35%,2),ROUND((AF64*$AF$11)+(AG64*$AG$11)+(AH64*$AH$11)+(AI64*$AI$11)+(AJ64*$AJ$11),2))</f>
        <v>0</v>
      </c>
      <c r="AL64" s="12"/>
      <c r="AM64" s="12"/>
      <c r="AN64" s="12"/>
      <c r="AO64" s="46">
        <f>IF(OR($G$4="MEDIA",$G$4="BASICA - TERCER CICLO"),ROUND(((AL64*$AL$11)+(AM64*$AM$11)+(AN64*$AN$11)*100)/30%,2),ROUND(((AL64*$AL$11)+(AM64*$AM$11)+(AN64*$AN$11)*100)/30%,2))</f>
        <v>0</v>
      </c>
      <c r="AP64" s="12"/>
      <c r="AQ64" s="14">
        <f>IF(OR($G$4="MEDIA",$G$4="BASICA - TERCER CICLO"),ROUND((AP64*$AP$11),2),ROUND((AP64*$AP$11),0))</f>
        <v>0</v>
      </c>
      <c r="AR64" s="47">
        <f>ROUND((AE64+AK64+AO64)/3,1)</f>
        <v>0</v>
      </c>
      <c r="AS64" s="12"/>
      <c r="AT64" s="12"/>
      <c r="AU64" s="12"/>
      <c r="AV64" s="12"/>
      <c r="AW64" s="12"/>
      <c r="AX64" s="46">
        <f>IF(OR($G$4="MEDIA",$G$4="BASICA - TERCER CICLO"),ROUND(((AS64*$AS$11)+(AT64*$AT$11)+(AU64*$AU$11)+(AV64*$AV$11)+(AW64*$AW$11)*100)/35%,2),ROUND((AS64*$AS$11)+(AT64*$AT$11)+(AU64*$AU$11)+(AV64*$AV$11)+(AW64*$AW$11),2))</f>
        <v>0</v>
      </c>
      <c r="AY64" s="12"/>
      <c r="AZ64" s="12"/>
      <c r="BA64" s="12"/>
      <c r="BB64" s="12"/>
      <c r="BC64" s="12"/>
      <c r="BD64" s="46">
        <f>IF(OR($G$4="MEDIA",$G$4="BASICA - TERCER CICLO"),ROUND(((AY64*$AY$11)+(AZ64*$AZ$11)+(BA64*$BA$11)+(BB64*$BB$11)+(BC64*$BC$11)*100)/35%,2),ROUND((AY64*$AY$11)+(AZ64*$AZ$11)+(BA64*$BA$11)+(BB64*$BB$11)+(BC64*$BC$11),2))</f>
        <v>0</v>
      </c>
      <c r="BE64" s="12"/>
      <c r="BF64" s="12"/>
      <c r="BG64" s="12"/>
      <c r="BH64" s="46">
        <f>IF(OR($G$4="MEDIA",$G$4="BASICA - TERCER CICLO"),ROUND(((BE64*$BE$11)+(BF64*$BF$11)+(BG64*$BG$11)*100)/30%,2),ROUND(((BE64*$BE$11)+(BF64*$BF$11)+(BG64*$BG$11)*100)/30%,2))</f>
        <v>0</v>
      </c>
      <c r="BI64" s="12"/>
      <c r="BJ64" s="14">
        <f>IF(OR($G$4="MEDIA",$G$4="BASICA - TERCER CICLO"),ROUND((BI64*$BI$11),2),ROUND((BI64*$BI$11),0))</f>
        <v>0</v>
      </c>
      <c r="BK64" s="47">
        <f>ROUND((AX64+BD64+BH64)/3,1)</f>
        <v>0</v>
      </c>
      <c r="BL64" s="12"/>
      <c r="BM64" s="12"/>
      <c r="BN64" s="12"/>
      <c r="BO64" s="12"/>
      <c r="BP64" s="12"/>
      <c r="BQ64" s="13">
        <f>IF(OR($G$4="MEDIA",$G$4="BASICA - TERCER CICLO"),ROUND(((BL64*$BL$11)+(BM64*$BM$11)+(BN64*$BN$11)+(BO64*$BO$11)+(BP64*$BP$11)*100)/35%,2),ROUND(((BL64*$BL$11)+(BM64*$BM$11)+(BN64*$BN$11)+(BO64*$BO$11)+(BP64*$BP$11)*100)/35%,2))</f>
        <v>0</v>
      </c>
      <c r="BR64" s="12"/>
      <c r="BS64" s="12"/>
      <c r="BT64" s="12"/>
      <c r="BU64" s="12"/>
      <c r="BV64" s="12"/>
      <c r="BW64" s="13">
        <f>IF(OR($G$4="MEDIA",$G$4="BASICA - TERCER CICLO"),ROUND(((BR64*$BR$11)+(BS64*$BS$11)+(BT64*$BT$11)+(BU64*$BU$11)+(BV64*$BV$11)*100)/35%,2),ROUND(((BR64*$BR$11)+(BS64*$BS$11)+(BT64*$BT$11)+(BU64*$BU$11)+(BV64*$BP$11)*100)/35%,2))</f>
        <v>0</v>
      </c>
      <c r="BX64" s="12"/>
      <c r="BY64" s="12"/>
      <c r="BZ64" s="12"/>
      <c r="CA64" s="13">
        <f>IF(OR($G$4="MEDIA",$G$4="BASICA - TERCER CICLO"),ROUND(((BX64*$BX$11)+(BY64*$BY$11)+(BZ64*$BZ$11)*100)/30%,2),ROUND(((BX64*$BX$11)+(BY64*$BY$11)+(BZ64*$BZ$11)*100)/30%,2))</f>
        <v>0</v>
      </c>
      <c r="CB64" s="12"/>
      <c r="CC64" s="14">
        <f>IF(OR($G$4="MEDIA",$G$4="BASICA - TERCER CICLO"),ROUND((CB64*$BI$11),2),ROUND((CB64*$BI$11),0))</f>
        <v>0</v>
      </c>
      <c r="CD64" s="28">
        <f>IF(OR($G$4="MEDIA",$G$4="BASICA - TERCER CICLO"),ROUND((BQ64+BW64+CA64+CC64),1),IF($G$4="BASICA",ROUND((BQ64+BW64+CA64+CC64),0),ROUND((BQ64+BW64+CA64+CC64),1)))</f>
        <v>0</v>
      </c>
      <c r="CE64" s="28">
        <f>IF($G$4 = "MEDIA",ROUND(((Y64+AR64+BK64+CD64)/4),0),ROUND(((Y64+AR64+BK64)/3),0))</f>
        <v>0</v>
      </c>
      <c r="CF64" s="21"/>
      <c r="CG64" s="28">
        <f>IF(AND(CE64&lt;5,$G$4="BASICA"),ROUND((CE64+CF64)/2,0),IF(AND(CE64&lt;6,$G$4="MEDIA"),ROUND((CE64+CF64)/2,0),CE64))</f>
        <v>0</v>
      </c>
      <c r="CH64" s="16" t="str">
        <f>IF($G$4="MEDIA",IF(CG64&gt;=6,"Aprobado","Reprobado"),IF(CG64&gt;=5,"Aprobado","Reprobado"))</f>
        <v>Reprobado</v>
      </c>
    </row>
    <row r="65" spans="1:86" customHeight="1" ht="20.25">
      <c r="A65" s="39">
        <v>53</v>
      </c>
      <c r="B65" s="2">
        <v>10335670</v>
      </c>
      <c r="C65" s="2">
        <v>5050</v>
      </c>
      <c r="D65" s="2">
        <v>27002</v>
      </c>
      <c r="E65" s="2" t="s">
        <v>90</v>
      </c>
      <c r="F65" s="40" t="s">
        <v>37</v>
      </c>
      <c r="G65" s="31"/>
      <c r="H65" s="7"/>
      <c r="I65" s="7"/>
      <c r="J65" s="7"/>
      <c r="K65" s="7"/>
      <c r="L65" s="46">
        <f>IF(OR($G$4="MEDIA",$G$4="BASICA - TERCER CICLO"),ROUND(((G65*$G$11)+(H65*$H$11)+(I65*$I$11)+(J65*$J$11)+(K65*$K$11)*100)/35%,2),ROUND((G65*$G$11)+(H65*$H$11)+(I65*$I$11)+(J65*$J$11)+(K65*$K$11),2))</f>
        <v>0</v>
      </c>
      <c r="M65" s="7"/>
      <c r="N65" s="7"/>
      <c r="O65" s="7"/>
      <c r="P65" s="7"/>
      <c r="Q65" s="7"/>
      <c r="R65" s="46">
        <f>IF(OR($G$4="MEDIA",$G$4="BASICA - TERCER CICLO"),ROUND(((M65*$M$11)+(N65*$N$11)+(O65*$O$11)+(P65*$P$11)+(Q65*$Q$11)*100)/35%,2),ROUND((M65*$M$11)+(N65*$N$11)+(O65*$O$11)+(P65*$P$11)+(Q65*$Q$11),2))</f>
        <v>0</v>
      </c>
      <c r="S65" s="7"/>
      <c r="T65" s="7"/>
      <c r="U65" s="7"/>
      <c r="V65" s="13">
        <f>IF(OR($G$4="MEDIA",$G$4="BASICA - TERCER CICLO"),ROUND(((S65*$S$11)+(T65*$T$11)+(U65*$U$11)*100)/30%,2),ROUND(((S65*$S$11)+(T65*$T$11)+(U65*$U$11)*100)/30%,2))</f>
        <v>0</v>
      </c>
      <c r="W65" s="7"/>
      <c r="X65" s="14">
        <f>IF(OR($G$4="MEDIA",$G$4="BASICA - TERCER CICLO"),ROUND((W65*$W$11),2),ROUND((W65*$W$11),0))</f>
        <v>0</v>
      </c>
      <c r="Y65" s="47">
        <f>ROUND((L65+R65+V65)/3,1)</f>
        <v>0</v>
      </c>
      <c r="Z65" s="7"/>
      <c r="AA65" s="7"/>
      <c r="AB65" s="7"/>
      <c r="AC65" s="7"/>
      <c r="AD65" s="7"/>
      <c r="AE65" s="46">
        <f>IF(OR($G$4="MEDIA",$G$4="BASICA - TERCER CICLO"),ROUND(((Z65*$Z$11)+(AA65*$AA$11)+(AB65*$AB$11)+(AC65*$AC$11)+(AD65*$AD$11)*100)/35%,2),ROUND((Z65*$Z$11)+(AA65*$AA$11)+(AB65*$AB$11)+(AC65*$AC$11)+(AD65*$AD$11),2))</f>
        <v>0</v>
      </c>
      <c r="AF65" s="7"/>
      <c r="AG65" s="7"/>
      <c r="AH65" s="7"/>
      <c r="AI65" s="7"/>
      <c r="AJ65" s="7"/>
      <c r="AK65" s="46">
        <f>IF(OR($G$4="MEDIA",$G$4="BASICA - TERCER CICLO"),ROUND(((AF65*$AF$11)+(AG65*$AG$11)+(AH65*$AH$11)+(AI65*$AI$11)+(AJ65*$AJ$11)*100)/35%,2),ROUND((AF65*$AF$11)+(AG65*$AG$11)+(AH65*$AH$11)+(AI65*$AI$11)+(AJ65*$AJ$11),2))</f>
        <v>0</v>
      </c>
      <c r="AL65" s="7"/>
      <c r="AM65" s="7"/>
      <c r="AN65" s="7"/>
      <c r="AO65" s="46">
        <f>IF(OR($G$4="MEDIA",$G$4="BASICA - TERCER CICLO"),ROUND(((AL65*$AL$11)+(AM65*$AM$11)+(AN65*$AN$11)*100)/30%,2),ROUND(((AL65*$AL$11)+(AM65*$AM$11)+(AN65*$AN$11)*100)/30%,2))</f>
        <v>0</v>
      </c>
      <c r="AP65" s="7"/>
      <c r="AQ65" s="14">
        <f>IF(OR($G$4="MEDIA",$G$4="BASICA - TERCER CICLO"),ROUND((AP65*$AP$11),2),ROUND((AP65*$AP$11),0))</f>
        <v>0</v>
      </c>
      <c r="AR65" s="47">
        <f>ROUND((AE65+AK65+AO65)/3,1)</f>
        <v>0</v>
      </c>
      <c r="AS65" s="7"/>
      <c r="AT65" s="7"/>
      <c r="AU65" s="7"/>
      <c r="AV65" s="7"/>
      <c r="AW65" s="7"/>
      <c r="AX65" s="46">
        <f>IF(OR($G$4="MEDIA",$G$4="BASICA - TERCER CICLO"),ROUND(((AS65*$AS$11)+(AT65*$AT$11)+(AU65*$AU$11)+(AV65*$AV$11)+(AW65*$AW$11)*100)/35%,2),ROUND((AS65*$AS$11)+(AT65*$AT$11)+(AU65*$AU$11)+(AV65*$AV$11)+(AW65*$AW$11),2))</f>
        <v>0</v>
      </c>
      <c r="AY65" s="7"/>
      <c r="AZ65" s="7"/>
      <c r="BA65" s="7"/>
      <c r="BB65" s="7"/>
      <c r="BC65" s="7"/>
      <c r="BD65" s="46">
        <f>IF(OR($G$4="MEDIA",$G$4="BASICA - TERCER CICLO"),ROUND(((AY65*$AY$11)+(AZ65*$AZ$11)+(BA65*$BA$11)+(BB65*$BB$11)+(BC65*$BC$11)*100)/35%,2),ROUND((AY65*$AY$11)+(AZ65*$AZ$11)+(BA65*$BA$11)+(BB65*$BB$11)+(BC65*$BC$11),2))</f>
        <v>0</v>
      </c>
      <c r="BE65" s="7"/>
      <c r="BF65" s="7"/>
      <c r="BG65" s="7"/>
      <c r="BH65" s="46">
        <f>IF(OR($G$4="MEDIA",$G$4="BASICA - TERCER CICLO"),ROUND(((BE65*$BE$11)+(BF65*$BF$11)+(BG65*$BG$11)*100)/30%,2),ROUND(((BE65*$BE$11)+(BF65*$BF$11)+(BG65*$BG$11)*100)/30%,2))</f>
        <v>0</v>
      </c>
      <c r="BI65" s="7"/>
      <c r="BJ65" s="14">
        <f>IF(OR($G$4="MEDIA",$G$4="BASICA - TERCER CICLO"),ROUND((BI65*$BI$11),2),ROUND((BI65*$BI$11),0))</f>
        <v>0</v>
      </c>
      <c r="BK65" s="47">
        <f>ROUND((AX65+BD65+BH65)/3,1)</f>
        <v>0</v>
      </c>
      <c r="BL65" s="7"/>
      <c r="BM65" s="7"/>
      <c r="BN65" s="7"/>
      <c r="BO65" s="7"/>
      <c r="BP65" s="7"/>
      <c r="BQ65" s="13">
        <f>IF(OR($G$4="MEDIA",$G$4="BASICA - TERCER CICLO"),ROUND(((BL65*$BL$11)+(BM65*$BM$11)+(BN65*$BN$11)+(BO65*$BO$11)+(BP65*$BP$11)*100)/35%,2),ROUND(((BL65*$BL$11)+(BM65*$BM$11)+(BN65*$BN$11)+(BO65*$BO$11)+(BP65*$BP$11)*100)/35%,2))</f>
        <v>0</v>
      </c>
      <c r="BR65" s="7"/>
      <c r="BS65" s="7"/>
      <c r="BT65" s="7"/>
      <c r="BU65" s="7"/>
      <c r="BV65" s="7"/>
      <c r="BW65" s="13">
        <f>IF(OR($G$4="MEDIA",$G$4="BASICA - TERCER CICLO"),ROUND(((BR65*$BR$11)+(BS65*$BS$11)+(BT65*$BT$11)+(BU65*$BU$11)+(BV65*$BV$11)*100)/35%,2),ROUND(((BR65*$BR$11)+(BS65*$BS$11)+(BT65*$BT$11)+(BU65*$BU$11)+(BV65*$BP$11)*100)/35%,2))</f>
        <v>0</v>
      </c>
      <c r="BX65" s="7"/>
      <c r="BY65" s="7"/>
      <c r="BZ65" s="7"/>
      <c r="CA65" s="13">
        <f>IF(OR($G$4="MEDIA",$G$4="BASICA - TERCER CICLO"),ROUND(((BX65*$BX$11)+(BY65*$BY$11)+(BZ65*$BZ$11)*100)/30%,2),ROUND(((BX65*$BX$11)+(BY65*$BY$11)+(BZ65*$BZ$11)*100)/30%,2))</f>
        <v>0</v>
      </c>
      <c r="CB65" s="7"/>
      <c r="CC65" s="14">
        <f>IF(OR($G$4="MEDIA",$G$4="BASICA - TERCER CICLO"),ROUND((CB65*$BI$11),2),ROUND((CB65*$BI$11),0))</f>
        <v>0</v>
      </c>
      <c r="CD65" s="28">
        <f>IF(OR($G$4="MEDIA",$G$4="BASICA - TERCER CICLO"),ROUND((BQ65+BW65+CA65+CC65),1),IF($G$4="BASICA",ROUND((BQ65+BW65+CA65+CC65),0),ROUND((BQ65+BW65+CA65+CC65),1)))</f>
        <v>0</v>
      </c>
      <c r="CE65" s="28">
        <f>IF($G$4 = "MEDIA",ROUND(((Y65+AR65+BK65+CD65)/4),0),ROUND(((Y65+AR65+BK65)/3),0))</f>
        <v>0</v>
      </c>
      <c r="CF65" s="20"/>
      <c r="CG65" s="28">
        <f>IF(AND(CE65&lt;5,$G$4="BASICA"),ROUND((CE65+CF65)/2,0),IF(AND(CE65&lt;6,$G$4="MEDIA"),ROUND((CE65+CF65)/2,0),CE65))</f>
        <v>0</v>
      </c>
      <c r="CH65" s="17" t="str">
        <f>IF($G$4="MEDIA",IF(CG65&gt;=6,"Aprobado","Reprobado"),IF(CG65&gt;=5,"Aprobado","Reprobado"))</f>
        <v>Reprobado</v>
      </c>
    </row>
    <row r="66" spans="1:86" customHeight="1" ht="20.25">
      <c r="A66" s="41">
        <v>54</v>
      </c>
      <c r="B66" s="3">
        <v>10282545</v>
      </c>
      <c r="C66" s="3">
        <v>4404</v>
      </c>
      <c r="D66" s="3">
        <v>27003</v>
      </c>
      <c r="E66" s="3" t="s">
        <v>91</v>
      </c>
      <c r="F66" s="42" t="s">
        <v>37</v>
      </c>
      <c r="G66" s="32"/>
      <c r="H66" s="12"/>
      <c r="I66" s="12"/>
      <c r="J66" s="12"/>
      <c r="K66" s="12"/>
      <c r="L66" s="46">
        <f>IF(OR($G$4="MEDIA",$G$4="BASICA - TERCER CICLO"),ROUND(((G66*$G$11)+(H66*$H$11)+(I66*$I$11)+(J66*$J$11)+(K66*$K$11)*100)/35%,2),ROUND((G66*$G$11)+(H66*$H$11)+(I66*$I$11)+(J66*$J$11)+(K66*$K$11),2))</f>
        <v>0</v>
      </c>
      <c r="M66" s="12"/>
      <c r="N66" s="12"/>
      <c r="O66" s="12"/>
      <c r="P66" s="12"/>
      <c r="Q66" s="12"/>
      <c r="R66" s="46">
        <f>IF(OR($G$4="MEDIA",$G$4="BASICA - TERCER CICLO"),ROUND(((M66*$M$11)+(N66*$N$11)+(O66*$O$11)+(P66*$P$11)+(Q66*$Q$11)*100)/35%,2),ROUND((M66*$M$11)+(N66*$N$11)+(O66*$O$11)+(P66*$P$11)+(Q66*$Q$11),2))</f>
        <v>0</v>
      </c>
      <c r="S66" s="12"/>
      <c r="T66" s="12"/>
      <c r="U66" s="12"/>
      <c r="V66" s="13">
        <f>IF(OR($G$4="MEDIA",$G$4="BASICA - TERCER CICLO"),ROUND(((S66*$S$11)+(T66*$T$11)+(U66*$U$11)*100)/30%,2),ROUND(((S66*$S$11)+(T66*$T$11)+(U66*$U$11)*100)/30%,2))</f>
        <v>0</v>
      </c>
      <c r="W66" s="12"/>
      <c r="X66" s="14">
        <f>IF(OR($G$4="MEDIA",$G$4="BASICA - TERCER CICLO"),ROUND((W66*$W$11),2),ROUND((W66*$W$11),0))</f>
        <v>0</v>
      </c>
      <c r="Y66" s="47">
        <f>ROUND((L66+R66+V66)/3,1)</f>
        <v>0</v>
      </c>
      <c r="Z66" s="12"/>
      <c r="AA66" s="12"/>
      <c r="AB66" s="12"/>
      <c r="AC66" s="12"/>
      <c r="AD66" s="12"/>
      <c r="AE66" s="46">
        <f>IF(OR($G$4="MEDIA",$G$4="BASICA - TERCER CICLO"),ROUND(((Z66*$Z$11)+(AA66*$AA$11)+(AB66*$AB$11)+(AC66*$AC$11)+(AD66*$AD$11)*100)/35%,2),ROUND((Z66*$Z$11)+(AA66*$AA$11)+(AB66*$AB$11)+(AC66*$AC$11)+(AD66*$AD$11),2))</f>
        <v>0</v>
      </c>
      <c r="AF66" s="12"/>
      <c r="AG66" s="12"/>
      <c r="AH66" s="12"/>
      <c r="AI66" s="12"/>
      <c r="AJ66" s="12"/>
      <c r="AK66" s="46">
        <f>IF(OR($G$4="MEDIA",$G$4="BASICA - TERCER CICLO"),ROUND(((AF66*$AF$11)+(AG66*$AG$11)+(AH66*$AH$11)+(AI66*$AI$11)+(AJ66*$AJ$11)*100)/35%,2),ROUND((AF66*$AF$11)+(AG66*$AG$11)+(AH66*$AH$11)+(AI66*$AI$11)+(AJ66*$AJ$11),2))</f>
        <v>0</v>
      </c>
      <c r="AL66" s="12"/>
      <c r="AM66" s="12"/>
      <c r="AN66" s="12"/>
      <c r="AO66" s="46">
        <f>IF(OR($G$4="MEDIA",$G$4="BASICA - TERCER CICLO"),ROUND(((AL66*$AL$11)+(AM66*$AM$11)+(AN66*$AN$11)*100)/30%,2),ROUND(((AL66*$AL$11)+(AM66*$AM$11)+(AN66*$AN$11)*100)/30%,2))</f>
        <v>0</v>
      </c>
      <c r="AP66" s="12"/>
      <c r="AQ66" s="14">
        <f>IF(OR($G$4="MEDIA",$G$4="BASICA - TERCER CICLO"),ROUND((AP66*$AP$11),2),ROUND((AP66*$AP$11),0))</f>
        <v>0</v>
      </c>
      <c r="AR66" s="47">
        <f>ROUND((AE66+AK66+AO66)/3,1)</f>
        <v>0</v>
      </c>
      <c r="AS66" s="12"/>
      <c r="AT66" s="12"/>
      <c r="AU66" s="12"/>
      <c r="AV66" s="12"/>
      <c r="AW66" s="12"/>
      <c r="AX66" s="46">
        <f>IF(OR($G$4="MEDIA",$G$4="BASICA - TERCER CICLO"),ROUND(((AS66*$AS$11)+(AT66*$AT$11)+(AU66*$AU$11)+(AV66*$AV$11)+(AW66*$AW$11)*100)/35%,2),ROUND((AS66*$AS$11)+(AT66*$AT$11)+(AU66*$AU$11)+(AV66*$AV$11)+(AW66*$AW$11),2))</f>
        <v>0</v>
      </c>
      <c r="AY66" s="12"/>
      <c r="AZ66" s="12"/>
      <c r="BA66" s="12"/>
      <c r="BB66" s="12"/>
      <c r="BC66" s="12"/>
      <c r="BD66" s="46">
        <f>IF(OR($G$4="MEDIA",$G$4="BASICA - TERCER CICLO"),ROUND(((AY66*$AY$11)+(AZ66*$AZ$11)+(BA66*$BA$11)+(BB66*$BB$11)+(BC66*$BC$11)*100)/35%,2),ROUND((AY66*$AY$11)+(AZ66*$AZ$11)+(BA66*$BA$11)+(BB66*$BB$11)+(BC66*$BC$11),2))</f>
        <v>0</v>
      </c>
      <c r="BE66" s="12"/>
      <c r="BF66" s="12"/>
      <c r="BG66" s="12"/>
      <c r="BH66" s="46">
        <f>IF(OR($G$4="MEDIA",$G$4="BASICA - TERCER CICLO"),ROUND(((BE66*$BE$11)+(BF66*$BF$11)+(BG66*$BG$11)*100)/30%,2),ROUND(((BE66*$BE$11)+(BF66*$BF$11)+(BG66*$BG$11)*100)/30%,2))</f>
        <v>0</v>
      </c>
      <c r="BI66" s="12"/>
      <c r="BJ66" s="14">
        <f>IF(OR($G$4="MEDIA",$G$4="BASICA - TERCER CICLO"),ROUND((BI66*$BI$11),2),ROUND((BI66*$BI$11),0))</f>
        <v>0</v>
      </c>
      <c r="BK66" s="47">
        <f>ROUND((AX66+BD66+BH66)/3,1)</f>
        <v>0</v>
      </c>
      <c r="BL66" s="12"/>
      <c r="BM66" s="12"/>
      <c r="BN66" s="12"/>
      <c r="BO66" s="12"/>
      <c r="BP66" s="12"/>
      <c r="BQ66" s="13">
        <f>IF(OR($G$4="MEDIA",$G$4="BASICA - TERCER CICLO"),ROUND(((BL66*$BL$11)+(BM66*$BM$11)+(BN66*$BN$11)+(BO66*$BO$11)+(BP66*$BP$11)*100)/35%,2),ROUND(((BL66*$BL$11)+(BM66*$BM$11)+(BN66*$BN$11)+(BO66*$BO$11)+(BP66*$BP$11)*100)/35%,2))</f>
        <v>0</v>
      </c>
      <c r="BR66" s="12"/>
      <c r="BS66" s="12"/>
      <c r="BT66" s="12"/>
      <c r="BU66" s="12"/>
      <c r="BV66" s="12"/>
      <c r="BW66" s="13">
        <f>IF(OR($G$4="MEDIA",$G$4="BASICA - TERCER CICLO"),ROUND(((BR66*$BR$11)+(BS66*$BS$11)+(BT66*$BT$11)+(BU66*$BU$11)+(BV66*$BV$11)*100)/35%,2),ROUND(((BR66*$BR$11)+(BS66*$BS$11)+(BT66*$BT$11)+(BU66*$BU$11)+(BV66*$BP$11)*100)/35%,2))</f>
        <v>0</v>
      </c>
      <c r="BX66" s="12"/>
      <c r="BY66" s="12"/>
      <c r="BZ66" s="12"/>
      <c r="CA66" s="13">
        <f>IF(OR($G$4="MEDIA",$G$4="BASICA - TERCER CICLO"),ROUND(((BX66*$BX$11)+(BY66*$BY$11)+(BZ66*$BZ$11)*100)/30%,2),ROUND(((BX66*$BX$11)+(BY66*$BY$11)+(BZ66*$BZ$11)*100)/30%,2))</f>
        <v>0</v>
      </c>
      <c r="CB66" s="12"/>
      <c r="CC66" s="14">
        <f>IF(OR($G$4="MEDIA",$G$4="BASICA - TERCER CICLO"),ROUND((CB66*$BI$11),2),ROUND((CB66*$BI$11),0))</f>
        <v>0</v>
      </c>
      <c r="CD66" s="28">
        <f>IF(OR($G$4="MEDIA",$G$4="BASICA - TERCER CICLO"),ROUND((BQ66+BW66+CA66+CC66),1),IF($G$4="BASICA",ROUND((BQ66+BW66+CA66+CC66),0),ROUND((BQ66+BW66+CA66+CC66),1)))</f>
        <v>0</v>
      </c>
      <c r="CE66" s="28">
        <f>IF($G$4 = "MEDIA",ROUND(((Y66+AR66+BK66+CD66)/4),0),ROUND(((Y66+AR66+BK66)/3),0))</f>
        <v>0</v>
      </c>
      <c r="CF66" s="21"/>
      <c r="CG66" s="28">
        <f>IF(AND(CE66&lt;5,$G$4="BASICA"),ROUND((CE66+CF66)/2,0),IF(AND(CE66&lt;6,$G$4="MEDIA"),ROUND((CE66+CF66)/2,0),CE66))</f>
        <v>0</v>
      </c>
      <c r="CH66" s="16" t="str">
        <f>IF($G$4="MEDIA",IF(CG66&gt;=6,"Aprobado","Reprobado"),IF(CG66&gt;=5,"Aprobado","Reprobado"))</f>
        <v>Reprobado</v>
      </c>
    </row>
    <row r="67" spans="1:86" customHeight="1" ht="20.25">
      <c r="A67" s="39">
        <v>55</v>
      </c>
      <c r="B67" s="2">
        <v>10282544</v>
      </c>
      <c r="C67" s="2">
        <v>4387</v>
      </c>
      <c r="D67" s="2">
        <v>27004</v>
      </c>
      <c r="E67" s="2" t="s">
        <v>92</v>
      </c>
      <c r="F67" s="40" t="s">
        <v>37</v>
      </c>
      <c r="G67" s="31"/>
      <c r="H67" s="7"/>
      <c r="I67" s="7"/>
      <c r="J67" s="7"/>
      <c r="K67" s="7"/>
      <c r="L67" s="46">
        <f>IF(OR($G$4="MEDIA",$G$4="BASICA - TERCER CICLO"),ROUND(((G67*$G$11)+(H67*$H$11)+(I67*$I$11)+(J67*$J$11)+(K67*$K$11)*100)/35%,2),ROUND((G67*$G$11)+(H67*$H$11)+(I67*$I$11)+(J67*$J$11)+(K67*$K$11),2))</f>
        <v>0</v>
      </c>
      <c r="M67" s="7"/>
      <c r="N67" s="7"/>
      <c r="O67" s="7"/>
      <c r="P67" s="7"/>
      <c r="Q67" s="7"/>
      <c r="R67" s="46">
        <f>IF(OR($G$4="MEDIA",$G$4="BASICA - TERCER CICLO"),ROUND(((M67*$M$11)+(N67*$N$11)+(O67*$O$11)+(P67*$P$11)+(Q67*$Q$11)*100)/35%,2),ROUND((M67*$M$11)+(N67*$N$11)+(O67*$O$11)+(P67*$P$11)+(Q67*$Q$11),2))</f>
        <v>0</v>
      </c>
      <c r="S67" s="7"/>
      <c r="T67" s="7"/>
      <c r="U67" s="7"/>
      <c r="V67" s="13">
        <f>IF(OR($G$4="MEDIA",$G$4="BASICA - TERCER CICLO"),ROUND(((S67*$S$11)+(T67*$T$11)+(U67*$U$11)*100)/30%,2),ROUND(((S67*$S$11)+(T67*$T$11)+(U67*$U$11)*100)/30%,2))</f>
        <v>0</v>
      </c>
      <c r="W67" s="7"/>
      <c r="X67" s="14">
        <f>IF(OR($G$4="MEDIA",$G$4="BASICA - TERCER CICLO"),ROUND((W67*$W$11),2),ROUND((W67*$W$11),0))</f>
        <v>0</v>
      </c>
      <c r="Y67" s="47">
        <f>ROUND((L67+R67+V67)/3,1)</f>
        <v>0</v>
      </c>
      <c r="Z67" s="7"/>
      <c r="AA67" s="7"/>
      <c r="AB67" s="7"/>
      <c r="AC67" s="7"/>
      <c r="AD67" s="7"/>
      <c r="AE67" s="46">
        <f>IF(OR($G$4="MEDIA",$G$4="BASICA - TERCER CICLO"),ROUND(((Z67*$Z$11)+(AA67*$AA$11)+(AB67*$AB$11)+(AC67*$AC$11)+(AD67*$AD$11)*100)/35%,2),ROUND((Z67*$Z$11)+(AA67*$AA$11)+(AB67*$AB$11)+(AC67*$AC$11)+(AD67*$AD$11),2))</f>
        <v>0</v>
      </c>
      <c r="AF67" s="7"/>
      <c r="AG67" s="7"/>
      <c r="AH67" s="7"/>
      <c r="AI67" s="7"/>
      <c r="AJ67" s="7"/>
      <c r="AK67" s="46">
        <f>IF(OR($G$4="MEDIA",$G$4="BASICA - TERCER CICLO"),ROUND(((AF67*$AF$11)+(AG67*$AG$11)+(AH67*$AH$11)+(AI67*$AI$11)+(AJ67*$AJ$11)*100)/35%,2),ROUND((AF67*$AF$11)+(AG67*$AG$11)+(AH67*$AH$11)+(AI67*$AI$11)+(AJ67*$AJ$11),2))</f>
        <v>0</v>
      </c>
      <c r="AL67" s="7"/>
      <c r="AM67" s="7"/>
      <c r="AN67" s="7"/>
      <c r="AO67" s="46">
        <f>IF(OR($G$4="MEDIA",$G$4="BASICA - TERCER CICLO"),ROUND(((AL67*$AL$11)+(AM67*$AM$11)+(AN67*$AN$11)*100)/30%,2),ROUND(((AL67*$AL$11)+(AM67*$AM$11)+(AN67*$AN$11)*100)/30%,2))</f>
        <v>0</v>
      </c>
      <c r="AP67" s="7"/>
      <c r="AQ67" s="14">
        <f>IF(OR($G$4="MEDIA",$G$4="BASICA - TERCER CICLO"),ROUND((AP67*$AP$11),2),ROUND((AP67*$AP$11),0))</f>
        <v>0</v>
      </c>
      <c r="AR67" s="47">
        <f>ROUND((AE67+AK67+AO67)/3,1)</f>
        <v>0</v>
      </c>
      <c r="AS67" s="7"/>
      <c r="AT67" s="7"/>
      <c r="AU67" s="7"/>
      <c r="AV67" s="7"/>
      <c r="AW67" s="7"/>
      <c r="AX67" s="46">
        <f>IF(OR($G$4="MEDIA",$G$4="BASICA - TERCER CICLO"),ROUND(((AS67*$AS$11)+(AT67*$AT$11)+(AU67*$AU$11)+(AV67*$AV$11)+(AW67*$AW$11)*100)/35%,2),ROUND((AS67*$AS$11)+(AT67*$AT$11)+(AU67*$AU$11)+(AV67*$AV$11)+(AW67*$AW$11),2))</f>
        <v>0</v>
      </c>
      <c r="AY67" s="7"/>
      <c r="AZ67" s="7"/>
      <c r="BA67" s="7"/>
      <c r="BB67" s="7"/>
      <c r="BC67" s="7"/>
      <c r="BD67" s="46">
        <f>IF(OR($G$4="MEDIA",$G$4="BASICA - TERCER CICLO"),ROUND(((AY67*$AY$11)+(AZ67*$AZ$11)+(BA67*$BA$11)+(BB67*$BB$11)+(BC67*$BC$11)*100)/35%,2),ROUND((AY67*$AY$11)+(AZ67*$AZ$11)+(BA67*$BA$11)+(BB67*$BB$11)+(BC67*$BC$11),2))</f>
        <v>0</v>
      </c>
      <c r="BE67" s="7"/>
      <c r="BF67" s="7"/>
      <c r="BG67" s="7"/>
      <c r="BH67" s="46">
        <f>IF(OR($G$4="MEDIA",$G$4="BASICA - TERCER CICLO"),ROUND(((BE67*$BE$11)+(BF67*$BF$11)+(BG67*$BG$11)*100)/30%,2),ROUND(((BE67*$BE$11)+(BF67*$BF$11)+(BG67*$BG$11)*100)/30%,2))</f>
        <v>0</v>
      </c>
      <c r="BI67" s="7"/>
      <c r="BJ67" s="14">
        <f>IF(OR($G$4="MEDIA",$G$4="BASICA - TERCER CICLO"),ROUND((BI67*$BI$11),2),ROUND((BI67*$BI$11),0))</f>
        <v>0</v>
      </c>
      <c r="BK67" s="47">
        <f>ROUND((AX67+BD67+BH67)/3,1)</f>
        <v>0</v>
      </c>
      <c r="BL67" s="7"/>
      <c r="BM67" s="7"/>
      <c r="BN67" s="7"/>
      <c r="BO67" s="7"/>
      <c r="BP67" s="7"/>
      <c r="BQ67" s="13">
        <f>IF(OR($G$4="MEDIA",$G$4="BASICA - TERCER CICLO"),ROUND(((BL67*$BL$11)+(BM67*$BM$11)+(BN67*$BN$11)+(BO67*$BO$11)+(BP67*$BP$11)*100)/35%,2),ROUND(((BL67*$BL$11)+(BM67*$BM$11)+(BN67*$BN$11)+(BO67*$BO$11)+(BP67*$BP$11)*100)/35%,2))</f>
        <v>0</v>
      </c>
      <c r="BR67" s="7"/>
      <c r="BS67" s="7"/>
      <c r="BT67" s="7"/>
      <c r="BU67" s="7"/>
      <c r="BV67" s="7"/>
      <c r="BW67" s="13">
        <f>IF(OR($G$4="MEDIA",$G$4="BASICA - TERCER CICLO"),ROUND(((BR67*$BR$11)+(BS67*$BS$11)+(BT67*$BT$11)+(BU67*$BU$11)+(BV67*$BV$11)*100)/35%,2),ROUND(((BR67*$BR$11)+(BS67*$BS$11)+(BT67*$BT$11)+(BU67*$BU$11)+(BV67*$BP$11)*100)/35%,2))</f>
        <v>0</v>
      </c>
      <c r="BX67" s="7"/>
      <c r="BY67" s="7"/>
      <c r="BZ67" s="7"/>
      <c r="CA67" s="13">
        <f>IF(OR($G$4="MEDIA",$G$4="BASICA - TERCER CICLO"),ROUND(((BX67*$BX$11)+(BY67*$BY$11)+(BZ67*$BZ$11)*100)/30%,2),ROUND(((BX67*$BX$11)+(BY67*$BY$11)+(BZ67*$BZ$11)*100)/30%,2))</f>
        <v>0</v>
      </c>
      <c r="CB67" s="7"/>
      <c r="CC67" s="14">
        <f>IF(OR($G$4="MEDIA",$G$4="BASICA - TERCER CICLO"),ROUND((CB67*$BI$11),2),ROUND((CB67*$BI$11),0))</f>
        <v>0</v>
      </c>
      <c r="CD67" s="28">
        <f>IF(OR($G$4="MEDIA",$G$4="BASICA - TERCER CICLO"),ROUND((BQ67+BW67+CA67+CC67),1),IF($G$4="BASICA",ROUND((BQ67+BW67+CA67+CC67),0),ROUND((BQ67+BW67+CA67+CC67),1)))</f>
        <v>0</v>
      </c>
      <c r="CE67" s="28">
        <f>IF($G$4 = "MEDIA",ROUND(((Y67+AR67+BK67+CD67)/4),0),ROUND(((Y67+AR67+BK67)/3),0))</f>
        <v>0</v>
      </c>
      <c r="CF67" s="20"/>
      <c r="CG67" s="28">
        <f>IF(AND(CE67&lt;5,$G$4="BASICA"),ROUND((CE67+CF67)/2,0),IF(AND(CE67&lt;6,$G$4="MEDIA"),ROUND((CE67+CF67)/2,0),CE67))</f>
        <v>0</v>
      </c>
      <c r="CH67" s="17" t="str">
        <f>IF($G$4="MEDIA",IF(CG67&gt;=6,"Aprobado","Reprobado"),IF(CG67&gt;=5,"Aprobado","Reprobado"))</f>
        <v>Reprobado</v>
      </c>
    </row>
    <row r="68" spans="1:86" customHeight="1" ht="20.25">
      <c r="A68" s="41">
        <v>56</v>
      </c>
      <c r="B68" s="3">
        <v>10335648</v>
      </c>
      <c r="C68" s="3">
        <v>5042</v>
      </c>
      <c r="D68" s="3">
        <v>27005</v>
      </c>
      <c r="E68" s="3" t="s">
        <v>93</v>
      </c>
      <c r="F68" s="42" t="s">
        <v>37</v>
      </c>
      <c r="G68" s="32"/>
      <c r="H68" s="12"/>
      <c r="I68" s="12"/>
      <c r="J68" s="12"/>
      <c r="K68" s="12"/>
      <c r="L68" s="46">
        <f>IF(OR($G$4="MEDIA",$G$4="BASICA - TERCER CICLO"),ROUND(((G68*$G$11)+(H68*$H$11)+(I68*$I$11)+(J68*$J$11)+(K68*$K$11)*100)/35%,2),ROUND((G68*$G$11)+(H68*$H$11)+(I68*$I$11)+(J68*$J$11)+(K68*$K$11),2))</f>
        <v>0</v>
      </c>
      <c r="M68" s="12"/>
      <c r="N68" s="12"/>
      <c r="O68" s="12"/>
      <c r="P68" s="12"/>
      <c r="Q68" s="12"/>
      <c r="R68" s="46">
        <f>IF(OR($G$4="MEDIA",$G$4="BASICA - TERCER CICLO"),ROUND(((M68*$M$11)+(N68*$N$11)+(O68*$O$11)+(P68*$P$11)+(Q68*$Q$11)*100)/35%,2),ROUND((M68*$M$11)+(N68*$N$11)+(O68*$O$11)+(P68*$P$11)+(Q68*$Q$11),2))</f>
        <v>0</v>
      </c>
      <c r="S68" s="12"/>
      <c r="T68" s="12"/>
      <c r="U68" s="12"/>
      <c r="V68" s="13">
        <f>IF(OR($G$4="MEDIA",$G$4="BASICA - TERCER CICLO"),ROUND(((S68*$S$11)+(T68*$T$11)+(U68*$U$11)*100)/30%,2),ROUND(((S68*$S$11)+(T68*$T$11)+(U68*$U$11)*100)/30%,2))</f>
        <v>0</v>
      </c>
      <c r="W68" s="12"/>
      <c r="X68" s="14">
        <f>IF(OR($G$4="MEDIA",$G$4="BASICA - TERCER CICLO"),ROUND((W68*$W$11),2),ROUND((W68*$W$11),0))</f>
        <v>0</v>
      </c>
      <c r="Y68" s="47">
        <f>ROUND((L68+R68+V68)/3,1)</f>
        <v>0</v>
      </c>
      <c r="Z68" s="12"/>
      <c r="AA68" s="12"/>
      <c r="AB68" s="12"/>
      <c r="AC68" s="12"/>
      <c r="AD68" s="12"/>
      <c r="AE68" s="46">
        <f>IF(OR($G$4="MEDIA",$G$4="BASICA - TERCER CICLO"),ROUND(((Z68*$Z$11)+(AA68*$AA$11)+(AB68*$AB$11)+(AC68*$AC$11)+(AD68*$AD$11)*100)/35%,2),ROUND((Z68*$Z$11)+(AA68*$AA$11)+(AB68*$AB$11)+(AC68*$AC$11)+(AD68*$AD$11),2))</f>
        <v>0</v>
      </c>
      <c r="AF68" s="12"/>
      <c r="AG68" s="12"/>
      <c r="AH68" s="12"/>
      <c r="AI68" s="12"/>
      <c r="AJ68" s="12"/>
      <c r="AK68" s="46">
        <f>IF(OR($G$4="MEDIA",$G$4="BASICA - TERCER CICLO"),ROUND(((AF68*$AF$11)+(AG68*$AG$11)+(AH68*$AH$11)+(AI68*$AI$11)+(AJ68*$AJ$11)*100)/35%,2),ROUND((AF68*$AF$11)+(AG68*$AG$11)+(AH68*$AH$11)+(AI68*$AI$11)+(AJ68*$AJ$11),2))</f>
        <v>0</v>
      </c>
      <c r="AL68" s="12"/>
      <c r="AM68" s="12"/>
      <c r="AN68" s="12"/>
      <c r="AO68" s="46">
        <f>IF(OR($G$4="MEDIA",$G$4="BASICA - TERCER CICLO"),ROUND(((AL68*$AL$11)+(AM68*$AM$11)+(AN68*$AN$11)*100)/30%,2),ROUND(((AL68*$AL$11)+(AM68*$AM$11)+(AN68*$AN$11)*100)/30%,2))</f>
        <v>0</v>
      </c>
      <c r="AP68" s="12"/>
      <c r="AQ68" s="14">
        <f>IF(OR($G$4="MEDIA",$G$4="BASICA - TERCER CICLO"),ROUND((AP68*$AP$11),2),ROUND((AP68*$AP$11),0))</f>
        <v>0</v>
      </c>
      <c r="AR68" s="47">
        <f>ROUND((AE68+AK68+AO68)/3,1)</f>
        <v>0</v>
      </c>
      <c r="AS68" s="12"/>
      <c r="AT68" s="12"/>
      <c r="AU68" s="12"/>
      <c r="AV68" s="12"/>
      <c r="AW68" s="12"/>
      <c r="AX68" s="46">
        <f>IF(OR($G$4="MEDIA",$G$4="BASICA - TERCER CICLO"),ROUND(((AS68*$AS$11)+(AT68*$AT$11)+(AU68*$AU$11)+(AV68*$AV$11)+(AW68*$AW$11)*100)/35%,2),ROUND((AS68*$AS$11)+(AT68*$AT$11)+(AU68*$AU$11)+(AV68*$AV$11)+(AW68*$AW$11),2))</f>
        <v>0</v>
      </c>
      <c r="AY68" s="12"/>
      <c r="AZ68" s="12"/>
      <c r="BA68" s="12"/>
      <c r="BB68" s="12"/>
      <c r="BC68" s="12"/>
      <c r="BD68" s="46">
        <f>IF(OR($G$4="MEDIA",$G$4="BASICA - TERCER CICLO"),ROUND(((AY68*$AY$11)+(AZ68*$AZ$11)+(BA68*$BA$11)+(BB68*$BB$11)+(BC68*$BC$11)*100)/35%,2),ROUND((AY68*$AY$11)+(AZ68*$AZ$11)+(BA68*$BA$11)+(BB68*$BB$11)+(BC68*$BC$11),2))</f>
        <v>0</v>
      </c>
      <c r="BE68" s="12"/>
      <c r="BF68" s="12"/>
      <c r="BG68" s="12"/>
      <c r="BH68" s="46">
        <f>IF(OR($G$4="MEDIA",$G$4="BASICA - TERCER CICLO"),ROUND(((BE68*$BE$11)+(BF68*$BF$11)+(BG68*$BG$11)*100)/30%,2),ROUND(((BE68*$BE$11)+(BF68*$BF$11)+(BG68*$BG$11)*100)/30%,2))</f>
        <v>0</v>
      </c>
      <c r="BI68" s="12"/>
      <c r="BJ68" s="14">
        <f>IF(OR($G$4="MEDIA",$G$4="BASICA - TERCER CICLO"),ROUND((BI68*$BI$11),2),ROUND((BI68*$BI$11),0))</f>
        <v>0</v>
      </c>
      <c r="BK68" s="47">
        <f>ROUND((AX68+BD68+BH68)/3,1)</f>
        <v>0</v>
      </c>
      <c r="BL68" s="12"/>
      <c r="BM68" s="12"/>
      <c r="BN68" s="12"/>
      <c r="BO68" s="12"/>
      <c r="BP68" s="12"/>
      <c r="BQ68" s="13">
        <f>IF(OR($G$4="MEDIA",$G$4="BASICA - TERCER CICLO"),ROUND(((BL68*$BL$11)+(BM68*$BM$11)+(BN68*$BN$11)+(BO68*$BO$11)+(BP68*$BP$11)*100)/35%,2),ROUND(((BL68*$BL$11)+(BM68*$BM$11)+(BN68*$BN$11)+(BO68*$BO$11)+(BP68*$BP$11)*100)/35%,2))</f>
        <v>0</v>
      </c>
      <c r="BR68" s="12"/>
      <c r="BS68" s="12"/>
      <c r="BT68" s="12"/>
      <c r="BU68" s="12"/>
      <c r="BV68" s="12"/>
      <c r="BW68" s="13">
        <f>IF(OR($G$4="MEDIA",$G$4="BASICA - TERCER CICLO"),ROUND(((BR68*$BR$11)+(BS68*$BS$11)+(BT68*$BT$11)+(BU68*$BU$11)+(BV68*$BV$11)*100)/35%,2),ROUND(((BR68*$BR$11)+(BS68*$BS$11)+(BT68*$BT$11)+(BU68*$BU$11)+(BV68*$BP$11)*100)/35%,2))</f>
        <v>0</v>
      </c>
      <c r="BX68" s="12"/>
      <c r="BY68" s="12"/>
      <c r="BZ68" s="12"/>
      <c r="CA68" s="13">
        <f>IF(OR($G$4="MEDIA",$G$4="BASICA - TERCER CICLO"),ROUND(((BX68*$BX$11)+(BY68*$BY$11)+(BZ68*$BZ$11)*100)/30%,2),ROUND(((BX68*$BX$11)+(BY68*$BY$11)+(BZ68*$BZ$11)*100)/30%,2))</f>
        <v>0</v>
      </c>
      <c r="CB68" s="12"/>
      <c r="CC68" s="14">
        <f>IF(OR($G$4="MEDIA",$G$4="BASICA - TERCER CICLO"),ROUND((CB68*$BI$11),2),ROUND((CB68*$BI$11),0))</f>
        <v>0</v>
      </c>
      <c r="CD68" s="28">
        <f>IF(OR($G$4="MEDIA",$G$4="BASICA - TERCER CICLO"),ROUND((BQ68+BW68+CA68+CC68),1),IF($G$4="BASICA",ROUND((BQ68+BW68+CA68+CC68),0),ROUND((BQ68+BW68+CA68+CC68),1)))</f>
        <v>0</v>
      </c>
      <c r="CE68" s="28">
        <f>IF($G$4 = "MEDIA",ROUND(((Y68+AR68+BK68+CD68)/4),0),ROUND(((Y68+AR68+BK68)/3),0))</f>
        <v>0</v>
      </c>
      <c r="CF68" s="19"/>
      <c r="CG68" s="28">
        <f>IF(AND(CE68&lt;5,$G$4="BASICA"),ROUND((CE68+CF68)/2,0),IF(AND(CE68&lt;6,$G$4="MEDIA"),ROUND((CE68+CF68)/2,0),CE68))</f>
        <v>0</v>
      </c>
      <c r="CH68" s="16" t="str">
        <f>IF($G$4="MEDIA",IF(CG68&gt;=6,"Aprobado","Reprobado"),IF(CG68&gt;=5,"Aprobado","Reprobado"))</f>
        <v>Reprobado</v>
      </c>
    </row>
    <row r="69" spans="1:86" customHeight="1" ht="20.25">
      <c r="A69" s="39">
        <v>57</v>
      </c>
      <c r="B69" s="2">
        <v>10523082</v>
      </c>
      <c r="C69" s="2">
        <v>4640</v>
      </c>
      <c r="D69" s="2">
        <v>27006</v>
      </c>
      <c r="E69" s="2" t="s">
        <v>94</v>
      </c>
      <c r="F69" s="40" t="s">
        <v>37</v>
      </c>
      <c r="G69" s="31"/>
      <c r="H69" s="7"/>
      <c r="I69" s="7"/>
      <c r="J69" s="7"/>
      <c r="K69" s="7"/>
      <c r="L69" s="46">
        <f>IF(OR($G$4="MEDIA",$G$4="BASICA - TERCER CICLO"),ROUND(((G69*$G$11)+(H69*$H$11)+(I69*$I$11)+(J69*$J$11)+(K69*$K$11)*100)/35%,2),ROUND((G69*$G$11)+(H69*$H$11)+(I69*$I$11)+(J69*$J$11)+(K69*$K$11),2))</f>
        <v>0</v>
      </c>
      <c r="M69" s="7"/>
      <c r="N69" s="7"/>
      <c r="O69" s="7"/>
      <c r="P69" s="7"/>
      <c r="Q69" s="7"/>
      <c r="R69" s="46">
        <f>IF(OR($G$4="MEDIA",$G$4="BASICA - TERCER CICLO"),ROUND(((M69*$M$11)+(N69*$N$11)+(O69*$O$11)+(P69*$P$11)+(Q69*$Q$11)*100)/35%,2),ROUND((M69*$M$11)+(N69*$N$11)+(O69*$O$11)+(P69*$P$11)+(Q69*$Q$11),2))</f>
        <v>0</v>
      </c>
      <c r="S69" s="7"/>
      <c r="T69" s="7"/>
      <c r="U69" s="7"/>
      <c r="V69" s="13">
        <f>IF(OR($G$4="MEDIA",$G$4="BASICA - TERCER CICLO"),ROUND(((S69*$S$11)+(T69*$T$11)+(U69*$U$11)*100)/30%,2),ROUND(((S69*$S$11)+(T69*$T$11)+(U69*$U$11)*100)/30%,2))</f>
        <v>0</v>
      </c>
      <c r="W69" s="7"/>
      <c r="X69" s="14">
        <f>IF(OR($G$4="MEDIA",$G$4="BASICA - TERCER CICLO"),ROUND((W69*$W$11),2),ROUND((W69*$W$11),0))</f>
        <v>0</v>
      </c>
      <c r="Y69" s="47">
        <f>ROUND((L69+R69+V69)/3,1)</f>
        <v>0</v>
      </c>
      <c r="Z69" s="7"/>
      <c r="AA69" s="7"/>
      <c r="AB69" s="7"/>
      <c r="AC69" s="7"/>
      <c r="AD69" s="7"/>
      <c r="AE69" s="46">
        <f>IF(OR($G$4="MEDIA",$G$4="BASICA - TERCER CICLO"),ROUND(((Z69*$Z$11)+(AA69*$AA$11)+(AB69*$AB$11)+(AC69*$AC$11)+(AD69*$AD$11)*100)/35%,2),ROUND((Z69*$Z$11)+(AA69*$AA$11)+(AB69*$AB$11)+(AC69*$AC$11)+(AD69*$AD$11),2))</f>
        <v>0</v>
      </c>
      <c r="AF69" s="7"/>
      <c r="AG69" s="7"/>
      <c r="AH69" s="7"/>
      <c r="AI69" s="7"/>
      <c r="AJ69" s="7"/>
      <c r="AK69" s="46">
        <f>IF(OR($G$4="MEDIA",$G$4="BASICA - TERCER CICLO"),ROUND(((AF69*$AF$11)+(AG69*$AG$11)+(AH69*$AH$11)+(AI69*$AI$11)+(AJ69*$AJ$11)*100)/35%,2),ROUND((AF69*$AF$11)+(AG69*$AG$11)+(AH69*$AH$11)+(AI69*$AI$11)+(AJ69*$AJ$11),2))</f>
        <v>0</v>
      </c>
      <c r="AL69" s="7"/>
      <c r="AM69" s="7"/>
      <c r="AN69" s="7"/>
      <c r="AO69" s="46">
        <f>IF(OR($G$4="MEDIA",$G$4="BASICA - TERCER CICLO"),ROUND(((AL69*$AL$11)+(AM69*$AM$11)+(AN69*$AN$11)*100)/30%,2),ROUND(((AL69*$AL$11)+(AM69*$AM$11)+(AN69*$AN$11)*100)/30%,2))</f>
        <v>0</v>
      </c>
      <c r="AP69" s="7"/>
      <c r="AQ69" s="14">
        <f>IF(OR($G$4="MEDIA",$G$4="BASICA - TERCER CICLO"),ROUND((AP69*$AP$11),2),ROUND((AP69*$AP$11),0))</f>
        <v>0</v>
      </c>
      <c r="AR69" s="47">
        <f>ROUND((AE69+AK69+AO69)/3,1)</f>
        <v>0</v>
      </c>
      <c r="AS69" s="7"/>
      <c r="AT69" s="7"/>
      <c r="AU69" s="7"/>
      <c r="AV69" s="7"/>
      <c r="AW69" s="7"/>
      <c r="AX69" s="46">
        <f>IF(OR($G$4="MEDIA",$G$4="BASICA - TERCER CICLO"),ROUND(((AS69*$AS$11)+(AT69*$AT$11)+(AU69*$AU$11)+(AV69*$AV$11)+(AW69*$AW$11)*100)/35%,2),ROUND((AS69*$AS$11)+(AT69*$AT$11)+(AU69*$AU$11)+(AV69*$AV$11)+(AW69*$AW$11),2))</f>
        <v>0</v>
      </c>
      <c r="AY69" s="7"/>
      <c r="AZ69" s="7"/>
      <c r="BA69" s="7"/>
      <c r="BB69" s="7"/>
      <c r="BC69" s="7"/>
      <c r="BD69" s="46">
        <f>IF(OR($G$4="MEDIA",$G$4="BASICA - TERCER CICLO"),ROUND(((AY69*$AY$11)+(AZ69*$AZ$11)+(BA69*$BA$11)+(BB69*$BB$11)+(BC69*$BC$11)*100)/35%,2),ROUND((AY69*$AY$11)+(AZ69*$AZ$11)+(BA69*$BA$11)+(BB69*$BB$11)+(BC69*$BC$11),2))</f>
        <v>0</v>
      </c>
      <c r="BE69" s="7"/>
      <c r="BF69" s="7"/>
      <c r="BG69" s="7"/>
      <c r="BH69" s="46">
        <f>IF(OR($G$4="MEDIA",$G$4="BASICA - TERCER CICLO"),ROUND(((BE69*$BE$11)+(BF69*$BF$11)+(BG69*$BG$11)*100)/30%,2),ROUND(((BE69*$BE$11)+(BF69*$BF$11)+(BG69*$BG$11)*100)/30%,2))</f>
        <v>0</v>
      </c>
      <c r="BI69" s="7"/>
      <c r="BJ69" s="14">
        <f>IF(OR($G$4="MEDIA",$G$4="BASICA - TERCER CICLO"),ROUND((BI69*$BI$11),2),ROUND((BI69*$BI$11),0))</f>
        <v>0</v>
      </c>
      <c r="BK69" s="47">
        <f>ROUND((AX69+BD69+BH69)/3,1)</f>
        <v>0</v>
      </c>
      <c r="BL69" s="7"/>
      <c r="BM69" s="7"/>
      <c r="BN69" s="7"/>
      <c r="BO69" s="7"/>
      <c r="BP69" s="7"/>
      <c r="BQ69" s="13">
        <f>IF(OR($G$4="MEDIA",$G$4="BASICA - TERCER CICLO"),ROUND(((BL69*$BL$11)+(BM69*$BM$11)+(BN69*$BN$11)+(BO69*$BO$11)+(BP69*$BP$11)*100)/35%,2),ROUND(((BL69*$BL$11)+(BM69*$BM$11)+(BN69*$BN$11)+(BO69*$BO$11)+(BP69*$BP$11)*100)/35%,2))</f>
        <v>0</v>
      </c>
      <c r="BR69" s="7"/>
      <c r="BS69" s="7"/>
      <c r="BT69" s="7"/>
      <c r="BU69" s="7"/>
      <c r="BV69" s="7"/>
      <c r="BW69" s="13">
        <f>IF(OR($G$4="MEDIA",$G$4="BASICA - TERCER CICLO"),ROUND(((BR69*$BR$11)+(BS69*$BS$11)+(BT69*$BT$11)+(BU69*$BU$11)+(BV69*$BV$11)*100)/35%,2),ROUND(((BR69*$BR$11)+(BS69*$BS$11)+(BT69*$BT$11)+(BU69*$BU$11)+(BV69*$BP$11)*100)/35%,2))</f>
        <v>0</v>
      </c>
      <c r="BX69" s="7"/>
      <c r="BY69" s="7"/>
      <c r="BZ69" s="7"/>
      <c r="CA69" s="13">
        <f>IF(OR($G$4="MEDIA",$G$4="BASICA - TERCER CICLO"),ROUND(((BX69*$BX$11)+(BY69*$BY$11)+(BZ69*$BZ$11)*100)/30%,2),ROUND(((BX69*$BX$11)+(BY69*$BY$11)+(BZ69*$BZ$11)*100)/30%,2))</f>
        <v>0</v>
      </c>
      <c r="CB69" s="7"/>
      <c r="CC69" s="14">
        <f>IF(OR($G$4="MEDIA",$G$4="BASICA - TERCER CICLO"),ROUND((CB69*$BI$11),2),ROUND((CB69*$BI$11),0))</f>
        <v>0</v>
      </c>
      <c r="CD69" s="28">
        <f>IF(OR($G$4="MEDIA",$G$4="BASICA - TERCER CICLO"),ROUND((BQ69+BW69+CA69+CC69),1),IF($G$4="BASICA",ROUND((BQ69+BW69+CA69+CC69),0),ROUND((BQ69+BW69+CA69+CC69),1)))</f>
        <v>0</v>
      </c>
      <c r="CE69" s="28">
        <f>IF($G$4 = "MEDIA",ROUND(((Y69+AR69+BK69+CD69)/4),0),ROUND(((Y69+AR69+BK69)/3),0))</f>
        <v>0</v>
      </c>
      <c r="CF69" s="20"/>
      <c r="CG69" s="28">
        <f>IF(AND(CE69&lt;5,$G$4="BASICA"),ROUND((CE69+CF69)/2,0),IF(AND(CE69&lt;6,$G$4="MEDIA"),ROUND((CE69+CF69)/2,0),CE69))</f>
        <v>0</v>
      </c>
      <c r="CH69" s="17" t="str">
        <f>IF($G$4="MEDIA",IF(CG69&gt;=6,"Aprobado","Reprobado"),IF(CG69&gt;=5,"Aprobado","Reprobado"))</f>
        <v>Reprobado</v>
      </c>
    </row>
    <row r="70" spans="1:86" customHeight="1" ht="20.25">
      <c r="A70" s="41">
        <v>58</v>
      </c>
      <c r="B70" s="3">
        <v>10475714</v>
      </c>
      <c r="C70" s="3">
        <v>5480</v>
      </c>
      <c r="D70" s="3">
        <v>27007</v>
      </c>
      <c r="E70" s="3" t="s">
        <v>95</v>
      </c>
      <c r="F70" s="42" t="s">
        <v>39</v>
      </c>
      <c r="G70" s="32"/>
      <c r="H70" s="12"/>
      <c r="I70" s="12"/>
      <c r="J70" s="12"/>
      <c r="K70" s="12"/>
      <c r="L70" s="46">
        <f>IF(OR($G$4="MEDIA",$G$4="BASICA - TERCER CICLO"),ROUND(((G70*$G$11)+(H70*$H$11)+(I70*$I$11)+(J70*$J$11)+(K70*$K$11)*100)/35%,2),ROUND((G70*$G$11)+(H70*$H$11)+(I70*$I$11)+(J70*$J$11)+(K70*$K$11),2))</f>
        <v>0</v>
      </c>
      <c r="M70" s="12"/>
      <c r="N70" s="12"/>
      <c r="O70" s="12"/>
      <c r="P70" s="12"/>
      <c r="Q70" s="12"/>
      <c r="R70" s="46">
        <f>IF(OR($G$4="MEDIA",$G$4="BASICA - TERCER CICLO"),ROUND(((M70*$M$11)+(N70*$N$11)+(O70*$O$11)+(P70*$P$11)+(Q70*$Q$11)*100)/35%,2),ROUND((M70*$M$11)+(N70*$N$11)+(O70*$O$11)+(P70*$P$11)+(Q70*$Q$11),2))</f>
        <v>0</v>
      </c>
      <c r="S70" s="12"/>
      <c r="T70" s="12"/>
      <c r="U70" s="12"/>
      <c r="V70" s="13">
        <f>IF(OR($G$4="MEDIA",$G$4="BASICA - TERCER CICLO"),ROUND(((S70*$S$11)+(T70*$T$11)+(U70*$U$11)*100)/30%,2),ROUND(((S70*$S$11)+(T70*$T$11)+(U70*$U$11)*100)/30%,2))</f>
        <v>0</v>
      </c>
      <c r="W70" s="12"/>
      <c r="X70" s="14">
        <f>IF(OR($G$4="MEDIA",$G$4="BASICA - TERCER CICLO"),ROUND((W70*$W$11),2),ROUND((W70*$W$11),0))</f>
        <v>0</v>
      </c>
      <c r="Y70" s="47">
        <f>ROUND((L70+R70+V70)/3,1)</f>
        <v>0</v>
      </c>
      <c r="Z70" s="12"/>
      <c r="AA70" s="12"/>
      <c r="AB70" s="12"/>
      <c r="AC70" s="12"/>
      <c r="AD70" s="12"/>
      <c r="AE70" s="46">
        <f>IF(OR($G$4="MEDIA",$G$4="BASICA - TERCER CICLO"),ROUND(((Z70*$Z$11)+(AA70*$AA$11)+(AB70*$AB$11)+(AC70*$AC$11)+(AD70*$AD$11)*100)/35%,2),ROUND((Z70*$Z$11)+(AA70*$AA$11)+(AB70*$AB$11)+(AC70*$AC$11)+(AD70*$AD$11),2))</f>
        <v>0</v>
      </c>
      <c r="AF70" s="12"/>
      <c r="AG70" s="12"/>
      <c r="AH70" s="12"/>
      <c r="AI70" s="12"/>
      <c r="AJ70" s="12"/>
      <c r="AK70" s="46">
        <f>IF(OR($G$4="MEDIA",$G$4="BASICA - TERCER CICLO"),ROUND(((AF70*$AF$11)+(AG70*$AG$11)+(AH70*$AH$11)+(AI70*$AI$11)+(AJ70*$AJ$11)*100)/35%,2),ROUND((AF70*$AF$11)+(AG70*$AG$11)+(AH70*$AH$11)+(AI70*$AI$11)+(AJ70*$AJ$11),2))</f>
        <v>0</v>
      </c>
      <c r="AL70" s="12"/>
      <c r="AM70" s="12"/>
      <c r="AN70" s="12"/>
      <c r="AO70" s="46">
        <f>IF(OR($G$4="MEDIA",$G$4="BASICA - TERCER CICLO"),ROUND(((AL70*$AL$11)+(AM70*$AM$11)+(AN70*$AN$11)*100)/30%,2),ROUND(((AL70*$AL$11)+(AM70*$AM$11)+(AN70*$AN$11)*100)/30%,2))</f>
        <v>0</v>
      </c>
      <c r="AP70" s="12"/>
      <c r="AQ70" s="14">
        <f>IF(OR($G$4="MEDIA",$G$4="BASICA - TERCER CICLO"),ROUND((AP70*$AP$11),2),ROUND((AP70*$AP$11),0))</f>
        <v>0</v>
      </c>
      <c r="AR70" s="47">
        <f>ROUND((AE70+AK70+AO70)/3,1)</f>
        <v>0</v>
      </c>
      <c r="AS70" s="12"/>
      <c r="AT70" s="12"/>
      <c r="AU70" s="12"/>
      <c r="AV70" s="12"/>
      <c r="AW70" s="12"/>
      <c r="AX70" s="46">
        <f>IF(OR($G$4="MEDIA",$G$4="BASICA - TERCER CICLO"),ROUND(((AS70*$AS$11)+(AT70*$AT$11)+(AU70*$AU$11)+(AV70*$AV$11)+(AW70*$AW$11)*100)/35%,2),ROUND((AS70*$AS$11)+(AT70*$AT$11)+(AU70*$AU$11)+(AV70*$AV$11)+(AW70*$AW$11),2))</f>
        <v>0</v>
      </c>
      <c r="AY70" s="12"/>
      <c r="AZ70" s="12"/>
      <c r="BA70" s="12"/>
      <c r="BB70" s="12"/>
      <c r="BC70" s="12"/>
      <c r="BD70" s="46">
        <f>IF(OR($G$4="MEDIA",$G$4="BASICA - TERCER CICLO"),ROUND(((AY70*$AY$11)+(AZ70*$AZ$11)+(BA70*$BA$11)+(BB70*$BB$11)+(BC70*$BC$11)*100)/35%,2),ROUND((AY70*$AY$11)+(AZ70*$AZ$11)+(BA70*$BA$11)+(BB70*$BB$11)+(BC70*$BC$11),2))</f>
        <v>0</v>
      </c>
      <c r="BE70" s="12"/>
      <c r="BF70" s="12"/>
      <c r="BG70" s="12"/>
      <c r="BH70" s="46">
        <f>IF(OR($G$4="MEDIA",$G$4="BASICA - TERCER CICLO"),ROUND(((BE70*$BE$11)+(BF70*$BF$11)+(BG70*$BG$11)*100)/30%,2),ROUND(((BE70*$BE$11)+(BF70*$BF$11)+(BG70*$BG$11)*100)/30%,2))</f>
        <v>0</v>
      </c>
      <c r="BI70" s="12"/>
      <c r="BJ70" s="14">
        <f>IF(OR($G$4="MEDIA",$G$4="BASICA - TERCER CICLO"),ROUND((BI70*$BI$11),2),ROUND((BI70*$BI$11),0))</f>
        <v>0</v>
      </c>
      <c r="BK70" s="47">
        <f>ROUND((AX70+BD70+BH70)/3,1)</f>
        <v>0</v>
      </c>
      <c r="BL70" s="12"/>
      <c r="BM70" s="12"/>
      <c r="BN70" s="12"/>
      <c r="BO70" s="12"/>
      <c r="BP70" s="12"/>
      <c r="BQ70" s="13">
        <f>IF(OR($G$4="MEDIA",$G$4="BASICA - TERCER CICLO"),ROUND(((BL70*$BL$11)+(BM70*$BM$11)+(BN70*$BN$11)+(BO70*$BO$11)+(BP70*$BP$11)*100)/35%,2),ROUND(((BL70*$BL$11)+(BM70*$BM$11)+(BN70*$BN$11)+(BO70*$BO$11)+(BP70*$BP$11)*100)/35%,2))</f>
        <v>0</v>
      </c>
      <c r="BR70" s="12"/>
      <c r="BS70" s="12"/>
      <c r="BT70" s="12"/>
      <c r="BU70" s="12"/>
      <c r="BV70" s="12"/>
      <c r="BW70" s="13">
        <f>IF(OR($G$4="MEDIA",$G$4="BASICA - TERCER CICLO"),ROUND(((BR70*$BR$11)+(BS70*$BS$11)+(BT70*$BT$11)+(BU70*$BU$11)+(BV70*$BV$11)*100)/35%,2),ROUND(((BR70*$BR$11)+(BS70*$BS$11)+(BT70*$BT$11)+(BU70*$BU$11)+(BV70*$BP$11)*100)/35%,2))</f>
        <v>0</v>
      </c>
      <c r="BX70" s="12"/>
      <c r="BY70" s="12"/>
      <c r="BZ70" s="12"/>
      <c r="CA70" s="13">
        <f>IF(OR($G$4="MEDIA",$G$4="BASICA - TERCER CICLO"),ROUND(((BX70*$BX$11)+(BY70*$BY$11)+(BZ70*$BZ$11)*100)/30%,2),ROUND(((BX70*$BX$11)+(BY70*$BY$11)+(BZ70*$BZ$11)*100)/30%,2))</f>
        <v>0</v>
      </c>
      <c r="CB70" s="12"/>
      <c r="CC70" s="14">
        <f>IF(OR($G$4="MEDIA",$G$4="BASICA - TERCER CICLO"),ROUND((CB70*$BI$11),2),ROUND((CB70*$BI$11),0))</f>
        <v>0</v>
      </c>
      <c r="CD70" s="28">
        <f>IF(OR($G$4="MEDIA",$G$4="BASICA - TERCER CICLO"),ROUND((BQ70+BW70+CA70+CC70),1),IF($G$4="BASICA",ROUND((BQ70+BW70+CA70+CC70),0),ROUND((BQ70+BW70+CA70+CC70),1)))</f>
        <v>0</v>
      </c>
      <c r="CE70" s="28">
        <f>IF($G$4 = "MEDIA",ROUND(((Y70+AR70+BK70+CD70)/4),0),ROUND(((Y70+AR70+BK70)/3),0))</f>
        <v>0</v>
      </c>
      <c r="CF70" s="21"/>
      <c r="CG70" s="28">
        <f>IF(AND(CE70&lt;5,$G$4="BASICA"),ROUND((CE70+CF70)/2,0),IF(AND(CE70&lt;6,$G$4="MEDIA"),ROUND((CE70+CF70)/2,0),CE70))</f>
        <v>0</v>
      </c>
      <c r="CH70" s="16" t="str">
        <f>IF($G$4="MEDIA",IF(CG70&gt;=6,"Aprobado","Reprobado"),IF(CG70&gt;=5,"Aprobado","Reprobado"))</f>
        <v>Reprobado</v>
      </c>
    </row>
    <row r="71" spans="1:86" customHeight="1" ht="20.25">
      <c r="A71" s="39">
        <v>59</v>
      </c>
      <c r="B71" s="2">
        <v>10812109</v>
      </c>
      <c r="C71" s="2">
        <v>5314</v>
      </c>
      <c r="D71" s="2">
        <v>27008</v>
      </c>
      <c r="E71" s="2" t="s">
        <v>96</v>
      </c>
      <c r="F71" s="40" t="s">
        <v>39</v>
      </c>
      <c r="G71" s="31"/>
      <c r="H71" s="7"/>
      <c r="I71" s="7"/>
      <c r="J71" s="7"/>
      <c r="K71" s="7"/>
      <c r="L71" s="46">
        <f>IF(OR($G$4="MEDIA",$G$4="BASICA - TERCER CICLO"),ROUND(((G71*$G$11)+(H71*$H$11)+(I71*$I$11)+(J71*$J$11)+(K71*$K$11)*100)/35%,2),ROUND((G71*$G$11)+(H71*$H$11)+(I71*$I$11)+(J71*$J$11)+(K71*$K$11),2))</f>
        <v>0</v>
      </c>
      <c r="M71" s="7"/>
      <c r="N71" s="7"/>
      <c r="O71" s="7"/>
      <c r="P71" s="7"/>
      <c r="Q71" s="7"/>
      <c r="R71" s="46">
        <f>IF(OR($G$4="MEDIA",$G$4="BASICA - TERCER CICLO"),ROUND(((M71*$M$11)+(N71*$N$11)+(O71*$O$11)+(P71*$P$11)+(Q71*$Q$11)*100)/35%,2),ROUND((M71*$M$11)+(N71*$N$11)+(O71*$O$11)+(P71*$P$11)+(Q71*$Q$11),2))</f>
        <v>0</v>
      </c>
      <c r="S71" s="7"/>
      <c r="T71" s="7"/>
      <c r="U71" s="7"/>
      <c r="V71" s="13">
        <f>IF(OR($G$4="MEDIA",$G$4="BASICA - TERCER CICLO"),ROUND(((S71*$S$11)+(T71*$T$11)+(U71*$U$11)*100)/30%,2),ROUND(((S71*$S$11)+(T71*$T$11)+(U71*$U$11)*100)/30%,2))</f>
        <v>0</v>
      </c>
      <c r="W71" s="7"/>
      <c r="X71" s="14">
        <f>IF(OR($G$4="MEDIA",$G$4="BASICA - TERCER CICLO"),ROUND((W71*$W$11),2),ROUND((W71*$W$11),0))</f>
        <v>0</v>
      </c>
      <c r="Y71" s="47">
        <f>ROUND((L71+R71+V71)/3,1)</f>
        <v>0</v>
      </c>
      <c r="Z71" s="7"/>
      <c r="AA71" s="7"/>
      <c r="AB71" s="7"/>
      <c r="AC71" s="7"/>
      <c r="AD71" s="7"/>
      <c r="AE71" s="46">
        <f>IF(OR($G$4="MEDIA",$G$4="BASICA - TERCER CICLO"),ROUND(((Z71*$Z$11)+(AA71*$AA$11)+(AB71*$AB$11)+(AC71*$AC$11)+(AD71*$AD$11)*100)/35%,2),ROUND((Z71*$Z$11)+(AA71*$AA$11)+(AB71*$AB$11)+(AC71*$AC$11)+(AD71*$AD$11),2))</f>
        <v>0</v>
      </c>
      <c r="AF71" s="7"/>
      <c r="AG71" s="7"/>
      <c r="AH71" s="7"/>
      <c r="AI71" s="7"/>
      <c r="AJ71" s="7"/>
      <c r="AK71" s="46">
        <f>IF(OR($G$4="MEDIA",$G$4="BASICA - TERCER CICLO"),ROUND(((AF71*$AF$11)+(AG71*$AG$11)+(AH71*$AH$11)+(AI71*$AI$11)+(AJ71*$AJ$11)*100)/35%,2),ROUND((AF71*$AF$11)+(AG71*$AG$11)+(AH71*$AH$11)+(AI71*$AI$11)+(AJ71*$AJ$11),2))</f>
        <v>0</v>
      </c>
      <c r="AL71" s="7"/>
      <c r="AM71" s="7"/>
      <c r="AN71" s="7"/>
      <c r="AO71" s="46">
        <f>IF(OR($G$4="MEDIA",$G$4="BASICA - TERCER CICLO"),ROUND(((AL71*$AL$11)+(AM71*$AM$11)+(AN71*$AN$11)*100)/30%,2),ROUND(((AL71*$AL$11)+(AM71*$AM$11)+(AN71*$AN$11)*100)/30%,2))</f>
        <v>0</v>
      </c>
      <c r="AP71" s="7"/>
      <c r="AQ71" s="14">
        <f>IF(OR($G$4="MEDIA",$G$4="BASICA - TERCER CICLO"),ROUND((AP71*$AP$11),2),ROUND((AP71*$AP$11),0))</f>
        <v>0</v>
      </c>
      <c r="AR71" s="47">
        <f>ROUND((AE71+AK71+AO71)/3,1)</f>
        <v>0</v>
      </c>
      <c r="AS71" s="7"/>
      <c r="AT71" s="7"/>
      <c r="AU71" s="7"/>
      <c r="AV71" s="7"/>
      <c r="AW71" s="7"/>
      <c r="AX71" s="46">
        <f>IF(OR($G$4="MEDIA",$G$4="BASICA - TERCER CICLO"),ROUND(((AS71*$AS$11)+(AT71*$AT$11)+(AU71*$AU$11)+(AV71*$AV$11)+(AW71*$AW$11)*100)/35%,2),ROUND((AS71*$AS$11)+(AT71*$AT$11)+(AU71*$AU$11)+(AV71*$AV$11)+(AW71*$AW$11),2))</f>
        <v>0</v>
      </c>
      <c r="AY71" s="7"/>
      <c r="AZ71" s="7"/>
      <c r="BA71" s="7"/>
      <c r="BB71" s="7"/>
      <c r="BC71" s="7"/>
      <c r="BD71" s="46">
        <f>IF(OR($G$4="MEDIA",$G$4="BASICA - TERCER CICLO"),ROUND(((AY71*$AY$11)+(AZ71*$AZ$11)+(BA71*$BA$11)+(BB71*$BB$11)+(BC71*$BC$11)*100)/35%,2),ROUND((AY71*$AY$11)+(AZ71*$AZ$11)+(BA71*$BA$11)+(BB71*$BB$11)+(BC71*$BC$11),2))</f>
        <v>0</v>
      </c>
      <c r="BE71" s="7"/>
      <c r="BF71" s="7"/>
      <c r="BG71" s="7"/>
      <c r="BH71" s="46">
        <f>IF(OR($G$4="MEDIA",$G$4="BASICA - TERCER CICLO"),ROUND(((BE71*$BE$11)+(BF71*$BF$11)+(BG71*$BG$11)*100)/30%,2),ROUND(((BE71*$BE$11)+(BF71*$BF$11)+(BG71*$BG$11)*100)/30%,2))</f>
        <v>0</v>
      </c>
      <c r="BI71" s="7"/>
      <c r="BJ71" s="14">
        <f>IF(OR($G$4="MEDIA",$G$4="BASICA - TERCER CICLO"),ROUND((BI71*$BI$11),2),ROUND((BI71*$BI$11),0))</f>
        <v>0</v>
      </c>
      <c r="BK71" s="47">
        <f>ROUND((AX71+BD71+BH71)/3,1)</f>
        <v>0</v>
      </c>
      <c r="BL71" s="7"/>
      <c r="BM71" s="7"/>
      <c r="BN71" s="7"/>
      <c r="BO71" s="7"/>
      <c r="BP71" s="7"/>
      <c r="BQ71" s="13">
        <f>IF(OR($G$4="MEDIA",$G$4="BASICA - TERCER CICLO"),ROUND(((BL71*$BL$11)+(BM71*$BM$11)+(BN71*$BN$11)+(BO71*$BO$11)+(BP71*$BP$11)*100)/35%,2),ROUND(((BL71*$BL$11)+(BM71*$BM$11)+(BN71*$BN$11)+(BO71*$BO$11)+(BP71*$BP$11)*100)/35%,2))</f>
        <v>0</v>
      </c>
      <c r="BR71" s="7"/>
      <c r="BS71" s="7"/>
      <c r="BT71" s="7"/>
      <c r="BU71" s="7"/>
      <c r="BV71" s="7"/>
      <c r="BW71" s="13">
        <f>IF(OR($G$4="MEDIA",$G$4="BASICA - TERCER CICLO"),ROUND(((BR71*$BR$11)+(BS71*$BS$11)+(BT71*$BT$11)+(BU71*$BU$11)+(BV71*$BV$11)*100)/35%,2),ROUND(((BR71*$BR$11)+(BS71*$BS$11)+(BT71*$BT$11)+(BU71*$BU$11)+(BV71*$BP$11)*100)/35%,2))</f>
        <v>0</v>
      </c>
      <c r="BX71" s="7"/>
      <c r="BY71" s="7"/>
      <c r="BZ71" s="7"/>
      <c r="CA71" s="13">
        <f>IF(OR($G$4="MEDIA",$G$4="BASICA - TERCER CICLO"),ROUND(((BX71*$BX$11)+(BY71*$BY$11)+(BZ71*$BZ$11)*100)/30%,2),ROUND(((BX71*$BX$11)+(BY71*$BY$11)+(BZ71*$BZ$11)*100)/30%,2))</f>
        <v>0</v>
      </c>
      <c r="CB71" s="7"/>
      <c r="CC71" s="14">
        <f>IF(OR($G$4="MEDIA",$G$4="BASICA - TERCER CICLO"),ROUND((CB71*$BI$11),2),ROUND((CB71*$BI$11),0))</f>
        <v>0</v>
      </c>
      <c r="CD71" s="28">
        <f>IF(OR($G$4="MEDIA",$G$4="BASICA - TERCER CICLO"),ROUND((BQ71+BW71+CA71+CC71),1),IF($G$4="BASICA",ROUND((BQ71+BW71+CA71+CC71),0),ROUND((BQ71+BW71+CA71+CC71),1)))</f>
        <v>0</v>
      </c>
      <c r="CE71" s="28">
        <f>IF($G$4 = "MEDIA",ROUND(((Y71+AR71+BK71+CD71)/4),0),ROUND(((Y71+AR71+BK71)/3),0))</f>
        <v>0</v>
      </c>
      <c r="CF71" s="20"/>
      <c r="CG71" s="28">
        <f>IF(AND(CE71&lt;5,$G$4="BASICA"),ROUND((CE71+CF71)/2,0),IF(AND(CE71&lt;6,$G$4="MEDIA"),ROUND((CE71+CF71)/2,0),CE71))</f>
        <v>0</v>
      </c>
      <c r="CH71" s="17" t="str">
        <f>IF($G$4="MEDIA",IF(CG71&gt;=6,"Aprobado","Reprobado"),IF(CG71&gt;=5,"Aprobado","Reprobado"))</f>
        <v>Reprobado</v>
      </c>
    </row>
    <row r="72" spans="1:86" customHeight="1" ht="20.25">
      <c r="A72" s="43">
        <v>60</v>
      </c>
      <c r="B72" s="44">
        <v>10493557</v>
      </c>
      <c r="C72" s="44">
        <v>5113</v>
      </c>
      <c r="D72" s="44">
        <v>27009</v>
      </c>
      <c r="E72" s="44" t="s">
        <v>97</v>
      </c>
      <c r="F72" s="45" t="s">
        <v>39</v>
      </c>
      <c r="G72" s="32"/>
      <c r="H72" s="12"/>
      <c r="I72" s="12"/>
      <c r="J72" s="12"/>
      <c r="K72" s="12"/>
      <c r="L72" s="46">
        <f>IF(OR($G$4="MEDIA",$G$4="BASICA - TERCER CICLO"),ROUND(((G72*$G$11)+(H72*$H$11)+(I72*$I$11)+(J72*$J$11)+(K72*$K$11)*100)/35%,2),ROUND((G72*$G$11)+(H72*$H$11)+(I72*$I$11)+(J72*$J$11)+(K72*$K$11),2))</f>
        <v>0</v>
      </c>
      <c r="M72" s="12"/>
      <c r="N72" s="12"/>
      <c r="O72" s="12"/>
      <c r="P72" s="12"/>
      <c r="Q72" s="12"/>
      <c r="R72" s="46">
        <f>IF(OR($G$4="MEDIA",$G$4="BASICA - TERCER CICLO"),ROUND(((M72*$M$11)+(N72*$N$11)+(O72*$O$11)+(P72*$P$11)+(Q72*$Q$11)*100)/35%,2),ROUND((M72*$M$11)+(N72*$N$11)+(O72*$O$11)+(P72*$P$11)+(Q72*$Q$11),2))</f>
        <v>0</v>
      </c>
      <c r="S72" s="12"/>
      <c r="T72" s="12"/>
      <c r="U72" s="12"/>
      <c r="V72" s="13">
        <f>IF(OR($G$4="MEDIA",$G$4="BASICA - TERCER CICLO"),ROUND(((S72*$S$11)+(T72*$T$11)+(U72*$U$11)*100)/30%,2),ROUND(((S72*$S$11)+(T72*$T$11)+(U72*$U$11)*100)/30%,2))</f>
        <v>0</v>
      </c>
      <c r="W72" s="12"/>
      <c r="X72" s="14">
        <f>IF(OR($G$4="MEDIA",$G$4="BASICA - TERCER CICLO"),ROUND((W72*$W$11),2),ROUND((W72*$W$11),0))</f>
        <v>0</v>
      </c>
      <c r="Y72" s="47">
        <f>ROUND((L72+R72+V72)/3,1)</f>
        <v>0</v>
      </c>
      <c r="Z72" s="12"/>
      <c r="AA72" s="12"/>
      <c r="AB72" s="12"/>
      <c r="AC72" s="12"/>
      <c r="AD72" s="12"/>
      <c r="AE72" s="46">
        <f>IF(OR($G$4="MEDIA",$G$4="BASICA - TERCER CICLO"),ROUND(((Z72*$Z$11)+(AA72*$AA$11)+(AB72*$AB$11)+(AC72*$AC$11)+(AD72*$AD$11)*100)/35%,2),ROUND((Z72*$Z$11)+(AA72*$AA$11)+(AB72*$AB$11)+(AC72*$AC$11)+(AD72*$AD$11),2))</f>
        <v>0</v>
      </c>
      <c r="AF72" s="12"/>
      <c r="AG72" s="12"/>
      <c r="AH72" s="12"/>
      <c r="AI72" s="12"/>
      <c r="AJ72" s="12"/>
      <c r="AK72" s="46">
        <f>IF(OR($G$4="MEDIA",$G$4="BASICA - TERCER CICLO"),ROUND(((AF72*$AF$11)+(AG72*$AG$11)+(AH72*$AH$11)+(AI72*$AI$11)+(AJ72*$AJ$11)*100)/35%,2),ROUND((AF72*$AF$11)+(AG72*$AG$11)+(AH72*$AH$11)+(AI72*$AI$11)+(AJ72*$AJ$11),2))</f>
        <v>0</v>
      </c>
      <c r="AL72" s="12"/>
      <c r="AM72" s="12"/>
      <c r="AN72" s="12"/>
      <c r="AO72" s="46">
        <f>IF(OR($G$4="MEDIA",$G$4="BASICA - TERCER CICLO"),ROUND(((AL72*$AL$11)+(AM72*$AM$11)+(AN72*$AN$11)*100)/30%,2),ROUND(((AL72*$AL$11)+(AM72*$AM$11)+(AN72*$AN$11)*100)/30%,2))</f>
        <v>0</v>
      </c>
      <c r="AP72" s="12"/>
      <c r="AQ72" s="14">
        <f>IF(OR($G$4="MEDIA",$G$4="BASICA - TERCER CICLO"),ROUND((AP72*$AP$11),2),ROUND((AP72*$AP$11),0))</f>
        <v>0</v>
      </c>
      <c r="AR72" s="47">
        <f>ROUND((AE72+AK72+AO72)/3,1)</f>
        <v>0</v>
      </c>
      <c r="AS72" s="12"/>
      <c r="AT72" s="12"/>
      <c r="AU72" s="12"/>
      <c r="AV72" s="12"/>
      <c r="AW72" s="12"/>
      <c r="AX72" s="46">
        <f>IF(OR($G$4="MEDIA",$G$4="BASICA - TERCER CICLO"),ROUND(((AS72*$AS$11)+(AT72*$AT$11)+(AU72*$AU$11)+(AV72*$AV$11)+(AW72*$AW$11)*100)/35%,2),ROUND((AS72*$AS$11)+(AT72*$AT$11)+(AU72*$AU$11)+(AV72*$AV$11)+(AW72*$AW$11),2))</f>
        <v>0</v>
      </c>
      <c r="AY72" s="12"/>
      <c r="AZ72" s="12"/>
      <c r="BA72" s="12"/>
      <c r="BB72" s="12"/>
      <c r="BC72" s="12"/>
      <c r="BD72" s="46">
        <f>IF(OR($G$4="MEDIA",$G$4="BASICA - TERCER CICLO"),ROUND(((AY72*$AY$11)+(AZ72*$AZ$11)+(BA72*$BA$11)+(BB72*$BB$11)+(BC72*$BC$11)*100)/35%,2),ROUND((AY72*$AY$11)+(AZ72*$AZ$11)+(BA72*$BA$11)+(BB72*$BB$11)+(BC72*$BC$11),2))</f>
        <v>0</v>
      </c>
      <c r="BE72" s="12"/>
      <c r="BF72" s="12"/>
      <c r="BG72" s="12"/>
      <c r="BH72" s="46">
        <f>IF(OR($G$4="MEDIA",$G$4="BASICA - TERCER CICLO"),ROUND(((BE72*$BE$11)+(BF72*$BF$11)+(BG72*$BG$11)*100)/30%,2),ROUND(((BE72*$BE$11)+(BF72*$BF$11)+(BG72*$BG$11)*100)/30%,2))</f>
        <v>0</v>
      </c>
      <c r="BI72" s="12"/>
      <c r="BJ72" s="14">
        <f>IF(OR($G$4="MEDIA",$G$4="BASICA - TERCER CICLO"),ROUND((BI72*$BI$11),2),ROUND((BI72*$BI$11),0))</f>
        <v>0</v>
      </c>
      <c r="BK72" s="47">
        <f>ROUND((AX72+BD72+BH72)/3,1)</f>
        <v>0</v>
      </c>
      <c r="BL72" s="12"/>
      <c r="BM72" s="12"/>
      <c r="BN72" s="12"/>
      <c r="BO72" s="12"/>
      <c r="BP72" s="12"/>
      <c r="BQ72" s="13">
        <f>IF(OR($G$4="MEDIA",$G$4="BASICA - TERCER CICLO"),ROUND(((BL72*$BL$11)+(BM72*$BM$11)+(BN72*$BN$11)+(BO72*$BO$11)+(BP72*$BP$11)*100)/35%,2),ROUND(((BL72*$BL$11)+(BM72*$BM$11)+(BN72*$BN$11)+(BO72*$BO$11)+(BP72*$BP$11)*100)/35%,2))</f>
        <v>0</v>
      </c>
      <c r="BR72" s="12"/>
      <c r="BS72" s="12"/>
      <c r="BT72" s="12"/>
      <c r="BU72" s="12"/>
      <c r="BV72" s="12"/>
      <c r="BW72" s="13">
        <f>IF(OR($G$4="MEDIA",$G$4="BASICA - TERCER CICLO"),ROUND(((BR72*$BR$11)+(BS72*$BS$11)+(BT72*$BT$11)+(BU72*$BU$11)+(BV72*$BV$11)*100)/35%,2),ROUND(((BR72*$BR$11)+(BS72*$BS$11)+(BT72*$BT$11)+(BU72*$BU$11)+(BV72*$BP$11)*100)/35%,2))</f>
        <v>0</v>
      </c>
      <c r="BX72" s="12"/>
      <c r="BY72" s="12"/>
      <c r="BZ72" s="12"/>
      <c r="CA72" s="13">
        <f>IF(OR($G$4="MEDIA",$G$4="BASICA - TERCER CICLO"),ROUND(((BX72*$BX$11)+(BY72*$BY$11)+(BZ72*$BZ$11)*100)/30%,2),ROUND(((BX72*$BX$11)+(BY72*$BY$11)+(BZ72*$BZ$11)*100)/30%,2))</f>
        <v>0</v>
      </c>
      <c r="CB72" s="12"/>
      <c r="CC72" s="14">
        <f>IF(OR($G$4="MEDIA",$G$4="BASICA - TERCER CICLO"),ROUND((CB72*$BI$11),2),ROUND((CB72*$BI$11),0))</f>
        <v>0</v>
      </c>
      <c r="CD72" s="28">
        <f>IF(OR($G$4="MEDIA",$G$4="BASICA - TERCER CICLO"),ROUND((BQ72+BW72+CA72+CC72),1),IF($G$4="BASICA",ROUND((BQ72+BW72+CA72+CC72),0),ROUND((BQ72+BW72+CA72+CC72),1)))</f>
        <v>0</v>
      </c>
      <c r="CE72" s="28">
        <f>IF($G$4 = "MEDIA",ROUND(((Y72+AR72+BK72+CD72)/4),0),ROUND(((Y72+AR72+BK72)/3),0))</f>
        <v>0</v>
      </c>
      <c r="CF72" s="21"/>
      <c r="CG72" s="28">
        <f>IF(AND(CE72&lt;5,$G$4="BASICA"),ROUND((CE72+CF72)/2,0),IF(AND(CE72&lt;6,$G$4="MEDIA"),ROUND((CE72+CF72)/2,0),CE72))</f>
        <v>0</v>
      </c>
      <c r="CH72" s="16" t="str">
        <f>IF($G$4="MEDIA",IF(CG72&gt;=6,"Aprobado","Reprobado"),IF(CG72&gt;=5,"Aprobado","Reprobado"))</f>
        <v>Reprobado</v>
      </c>
    </row>
    <row r="73" spans="1:86" customHeight="1" ht="20.25">
      <c r="A73" s="43">
        <v>61</v>
      </c>
      <c r="B73" s="44">
        <v>10531133</v>
      </c>
      <c r="C73" s="44">
        <v>5655</v>
      </c>
      <c r="D73" s="44">
        <v>26968</v>
      </c>
      <c r="E73" s="44" t="s">
        <v>98</v>
      </c>
      <c r="F73" s="45" t="s">
        <v>39</v>
      </c>
      <c r="G73" s="32"/>
      <c r="H73" s="12"/>
      <c r="I73" s="12"/>
      <c r="J73" s="12"/>
      <c r="K73" s="12"/>
      <c r="L73" s="46">
        <f>IF(OR($G$4="MEDIA",$G$4="BASICA - TERCER CICLO"),ROUND(((G73*$G$11)+(H73*$H$11)+(I73*$I$11)+(J73*$J$11)+(K73*$K$11)*100)/35%,2),ROUND((G73*$G$11)+(H73*$H$11)+(I73*$I$11)+(J73*$J$11)+(K73*$K$11),2))</f>
        <v>0</v>
      </c>
      <c r="M73" s="12"/>
      <c r="N73" s="12"/>
      <c r="O73" s="12"/>
      <c r="P73" s="12"/>
      <c r="Q73" s="12"/>
      <c r="R73" s="46">
        <f>IF(OR($G$4="MEDIA",$G$4="BASICA - TERCER CICLO"),ROUND(((M73*$M$11)+(N73*$N$11)+(O73*$O$11)+(P73*$P$11)+(Q73*$Q$11)*100)/35%,2),ROUND((M73*$M$11)+(N73*$N$11)+(O73*$O$11)+(P73*$P$11)+(Q73*$Q$11),2))</f>
        <v>0</v>
      </c>
      <c r="S73" s="12"/>
      <c r="T73" s="12"/>
      <c r="U73" s="12"/>
      <c r="V73" s="13">
        <f>IF(OR($G$4="MEDIA",$G$4="BASICA - TERCER CICLO"),ROUND(((S73*$S$11)+(T73*$T$11)+(U73*$U$11)*100)/30%,2),ROUND(((S73*$S$11)+(T73*$T$11)+(U73*$U$11)*100)/30%,2))</f>
        <v>0</v>
      </c>
      <c r="W73" s="12"/>
      <c r="X73" s="14">
        <f>IF(OR($G$4="MEDIA",$G$4="BASICA - TERCER CICLO"),ROUND((W73*$W$11),2),ROUND((W73*$W$11),0))</f>
        <v>0</v>
      </c>
      <c r="Y73" s="47">
        <f>ROUND((L73+R73+V73)/3,1)</f>
        <v>0</v>
      </c>
      <c r="Z73" s="12"/>
      <c r="AA73" s="12"/>
      <c r="AB73" s="12"/>
      <c r="AC73" s="12"/>
      <c r="AD73" s="12"/>
      <c r="AE73" s="46">
        <f>IF(OR($G$4="MEDIA",$G$4="BASICA - TERCER CICLO"),ROUND(((Z73*$Z$11)+(AA73*$AA$11)+(AB73*$AB$11)+(AC73*$AC$11)+(AD73*$AD$11)*100)/35%,2),ROUND((Z73*$Z$11)+(AA73*$AA$11)+(AB73*$AB$11)+(AC73*$AC$11)+(AD73*$AD$11),2))</f>
        <v>0</v>
      </c>
      <c r="AF73" s="12"/>
      <c r="AG73" s="12"/>
      <c r="AH73" s="12"/>
      <c r="AI73" s="12"/>
      <c r="AJ73" s="12"/>
      <c r="AK73" s="46">
        <f>IF(OR($G$4="MEDIA",$G$4="BASICA - TERCER CICLO"),ROUND(((AF73*$AF$11)+(AG73*$AG$11)+(AH73*$AH$11)+(AI73*$AI$11)+(AJ73*$AJ$11)*100)/35%,2),ROUND((AF73*$AF$11)+(AG73*$AG$11)+(AH73*$AH$11)+(AI73*$AI$11)+(AJ73*$AJ$11),2))</f>
        <v>0</v>
      </c>
      <c r="AL73" s="12"/>
      <c r="AM73" s="12"/>
      <c r="AN73" s="12"/>
      <c r="AO73" s="46">
        <f>IF(OR($G$4="MEDIA",$G$4="BASICA - TERCER CICLO"),ROUND(((AL73*$AL$11)+(AM73*$AM$11)+(AN73*$AN$11)*100)/30%,2),ROUND(((AL73*$AL$11)+(AM73*$AM$11)+(AN73*$AN$11)*100)/30%,2))</f>
        <v>0</v>
      </c>
      <c r="AP73" s="12"/>
      <c r="AQ73" s="14">
        <f>IF(OR($G$4="MEDIA",$G$4="BASICA - TERCER CICLO"),ROUND((AP73*$AP$11),2),ROUND((AP73*$AP$11),0))</f>
        <v>0</v>
      </c>
      <c r="AR73" s="47">
        <f>ROUND((AE73+AK73+AO73)/3,1)</f>
        <v>0</v>
      </c>
      <c r="AS73" s="12"/>
      <c r="AT73" s="12"/>
      <c r="AU73" s="12"/>
      <c r="AV73" s="12"/>
      <c r="AW73" s="12"/>
      <c r="AX73" s="46">
        <f>IF(OR($G$4="MEDIA",$G$4="BASICA - TERCER CICLO"),ROUND(((AS73*$AS$11)+(AT73*$AT$11)+(AU73*$AU$11)+(AV73*$AV$11)+(AW73*$AW$11)*100)/35%,2),ROUND((AS73*$AS$11)+(AT73*$AT$11)+(AU73*$AU$11)+(AV73*$AV$11)+(AW73*$AW$11),2))</f>
        <v>0</v>
      </c>
      <c r="AY73" s="12"/>
      <c r="AZ73" s="12"/>
      <c r="BA73" s="12"/>
      <c r="BB73" s="12"/>
      <c r="BC73" s="12"/>
      <c r="BD73" s="46">
        <f>IF(OR($G$4="MEDIA",$G$4="BASICA - TERCER CICLO"),ROUND(((AY73*$AY$11)+(AZ73*$AZ$11)+(BA73*$BA$11)+(BB73*$BB$11)+(BC73*$BC$11)*100)/35%,2),ROUND((AY73*$AY$11)+(AZ73*$AZ$11)+(BA73*$BA$11)+(BB73*$BB$11)+(BC73*$BC$11),2))</f>
        <v>0</v>
      </c>
      <c r="BE73" s="12"/>
      <c r="BF73" s="12"/>
      <c r="BG73" s="12"/>
      <c r="BH73" s="46">
        <f>IF(OR($G$4="MEDIA",$G$4="BASICA - TERCER CICLO"),ROUND(((BE73*$BE$11)+(BF73*$BF$11)+(BG73*$BG$11)*100)/30%,2),ROUND(((BE73*$BE$11)+(BF73*$BF$11)+(BG73*$BG$11)*100)/30%,2))</f>
        <v>0</v>
      </c>
      <c r="BI73" s="12"/>
      <c r="BJ73" s="14">
        <f>IF(OR($G$4="MEDIA",$G$4="BASICA - TERCER CICLO"),ROUND((BI73*$BI$11),2),ROUND((BI73*$BI$11),0))</f>
        <v>0</v>
      </c>
      <c r="BK73" s="47">
        <f>ROUND((AX73+BD73+BH73)/3,1)</f>
        <v>0</v>
      </c>
      <c r="BL73" s="12"/>
      <c r="BM73" s="12"/>
      <c r="BN73" s="12"/>
      <c r="BO73" s="12"/>
      <c r="BP73" s="12"/>
      <c r="BQ73" s="13">
        <f>IF(OR($G$4="MEDIA",$G$4="BASICA - TERCER CICLO"),ROUND(((BL73*$BL$11)+(BM73*$BM$11)+(BN73*$BN$11)+(BO73*$BO$11)+(BP73*$BP$11)*100)/35%,2),ROUND(((BL73*$BL$11)+(BM73*$BM$11)+(BN73*$BN$11)+(BO73*$BO$11)+(BP73*$BP$11)*100)/35%,2))</f>
        <v>0</v>
      </c>
      <c r="BR73" s="12"/>
      <c r="BS73" s="12"/>
      <c r="BT73" s="12"/>
      <c r="BU73" s="12"/>
      <c r="BV73" s="12"/>
      <c r="BW73" s="13">
        <f>IF(OR($G$4="MEDIA",$G$4="BASICA - TERCER CICLO"),ROUND(((BR73*$BR$11)+(BS73*$BS$11)+(BT73*$BT$11)+(BU73*$BU$11)+(BV73*$BV$11)*100)/35%,2),ROUND(((BR73*$BR$11)+(BS73*$BS$11)+(BT73*$BT$11)+(BU73*$BU$11)+(BV73*$BP$11)*100)/35%,2))</f>
        <v>0</v>
      </c>
      <c r="BX73" s="12"/>
      <c r="BY73" s="12"/>
      <c r="BZ73" s="12"/>
      <c r="CA73" s="13">
        <f>IF(OR($G$4="MEDIA",$G$4="BASICA - TERCER CICLO"),ROUND(((BX73*$BX$11)+(BY73*$BY$11)+(BZ73*$BZ$11)*100)/30%,2),ROUND(((BX73*$BX$11)+(BY73*$BY$11)+(BZ73*$BZ$11)*100)/30%,2))</f>
        <v>0</v>
      </c>
      <c r="CB73" s="12"/>
      <c r="CC73" s="14">
        <f>IF(OR($G$4="MEDIA",$G$4="BASICA - TERCER CICLO"),ROUND((CB73*$BI$11),2),ROUND((CB73*$BI$11),0))</f>
        <v>0</v>
      </c>
      <c r="CD73" s="28">
        <f>IF(OR($G$4="MEDIA",$G$4="BASICA - TERCER CICLO"),ROUND((BQ73+BW73+CA73+CC73),1),IF($G$4="BASICA",ROUND((BQ73+BW73+CA73+CC73),0),ROUND((BQ73+BW73+CA73+CC73),1)))</f>
        <v>0</v>
      </c>
      <c r="CE73" s="28">
        <f>IF($G$4 = "MEDIA",ROUND(((Y73+AR73+BK73+CD73)/4),0),ROUND(((Y73+AR73+BK73)/3),0))</f>
        <v>0</v>
      </c>
      <c r="CF73" s="21"/>
      <c r="CG73" s="28">
        <f>IF(AND(CE73&lt;5,$G$4="BASICA"),ROUND((CE73+CF73)/2,0),IF(AND(CE73&lt;6,$G$4="MEDIA"),ROUND((CE73+CF73)/2,0),CE73))</f>
        <v>0</v>
      </c>
      <c r="CH73" s="16" t="str">
        <f>IF($G$4="MEDIA",IF(CG73&gt;=6,"Aprobado","Reprobado"),IF(CG73&gt;=5,"Aprobado","Reprobado"))</f>
        <v>Reprobado</v>
      </c>
    </row>
    <row r="74" spans="1:86" customHeight="1" ht="20.25">
      <c r="A74" s="43">
        <v>62</v>
      </c>
      <c r="B74" s="44">
        <v>10335281</v>
      </c>
      <c r="C74" s="44">
        <v>5044</v>
      </c>
      <c r="D74" s="44">
        <v>27010</v>
      </c>
      <c r="E74" s="44" t="s">
        <v>99</v>
      </c>
      <c r="F74" s="45" t="s">
        <v>39</v>
      </c>
      <c r="G74" s="32"/>
      <c r="H74" s="12"/>
      <c r="I74" s="12"/>
      <c r="J74" s="12"/>
      <c r="K74" s="12"/>
      <c r="L74" s="46">
        <f>IF(OR($G$4="MEDIA",$G$4="BASICA - TERCER CICLO"),ROUND(((G74*$G$11)+(H74*$H$11)+(I74*$I$11)+(J74*$J$11)+(K74*$K$11)*100)/35%,2),ROUND((G74*$G$11)+(H74*$H$11)+(I74*$I$11)+(J74*$J$11)+(K74*$K$11),2))</f>
        <v>0</v>
      </c>
      <c r="M74" s="12"/>
      <c r="N74" s="12"/>
      <c r="O74" s="12"/>
      <c r="P74" s="12"/>
      <c r="Q74" s="12"/>
      <c r="R74" s="46">
        <f>IF(OR($G$4="MEDIA",$G$4="BASICA - TERCER CICLO"),ROUND(((M74*$M$11)+(N74*$N$11)+(O74*$O$11)+(P74*$P$11)+(Q74*$Q$11)*100)/35%,2),ROUND((M74*$M$11)+(N74*$N$11)+(O74*$O$11)+(P74*$P$11)+(Q74*$Q$11),2))</f>
        <v>0</v>
      </c>
      <c r="S74" s="12"/>
      <c r="T74" s="12"/>
      <c r="U74" s="12"/>
      <c r="V74" s="13">
        <f>IF(OR($G$4="MEDIA",$G$4="BASICA - TERCER CICLO"),ROUND(((S74*$S$11)+(T74*$T$11)+(U74*$U$11)*100)/30%,2),ROUND(((S74*$S$11)+(T74*$T$11)+(U74*$U$11)*100)/30%,2))</f>
        <v>0</v>
      </c>
      <c r="W74" s="12"/>
      <c r="X74" s="14">
        <f>IF(OR($G$4="MEDIA",$G$4="BASICA - TERCER CICLO"),ROUND((W74*$W$11),2),ROUND((W74*$W$11),0))</f>
        <v>0</v>
      </c>
      <c r="Y74" s="47">
        <f>ROUND((L74+R74+V74)/3,1)</f>
        <v>0</v>
      </c>
      <c r="Z74" s="12"/>
      <c r="AA74" s="12"/>
      <c r="AB74" s="12"/>
      <c r="AC74" s="12"/>
      <c r="AD74" s="12"/>
      <c r="AE74" s="46">
        <f>IF(OR($G$4="MEDIA",$G$4="BASICA - TERCER CICLO"),ROUND(((Z74*$Z$11)+(AA74*$AA$11)+(AB74*$AB$11)+(AC74*$AC$11)+(AD74*$AD$11)*100)/35%,2),ROUND((Z74*$Z$11)+(AA74*$AA$11)+(AB74*$AB$11)+(AC74*$AC$11)+(AD74*$AD$11),2))</f>
        <v>0</v>
      </c>
      <c r="AF74" s="12"/>
      <c r="AG74" s="12"/>
      <c r="AH74" s="12"/>
      <c r="AI74" s="12"/>
      <c r="AJ74" s="12"/>
      <c r="AK74" s="46">
        <f>IF(OR($G$4="MEDIA",$G$4="BASICA - TERCER CICLO"),ROUND(((AF74*$AF$11)+(AG74*$AG$11)+(AH74*$AH$11)+(AI74*$AI$11)+(AJ74*$AJ$11)*100)/35%,2),ROUND((AF74*$AF$11)+(AG74*$AG$11)+(AH74*$AH$11)+(AI74*$AI$11)+(AJ74*$AJ$11),2))</f>
        <v>0</v>
      </c>
      <c r="AL74" s="12"/>
      <c r="AM74" s="12"/>
      <c r="AN74" s="12"/>
      <c r="AO74" s="46">
        <f>IF(OR($G$4="MEDIA",$G$4="BASICA - TERCER CICLO"),ROUND(((AL74*$AL$11)+(AM74*$AM$11)+(AN74*$AN$11)*100)/30%,2),ROUND(((AL74*$AL$11)+(AM74*$AM$11)+(AN74*$AN$11)*100)/30%,2))</f>
        <v>0</v>
      </c>
      <c r="AP74" s="12"/>
      <c r="AQ74" s="14">
        <f>IF(OR($G$4="MEDIA",$G$4="BASICA - TERCER CICLO"),ROUND((AP74*$AP$11),2),ROUND((AP74*$AP$11),0))</f>
        <v>0</v>
      </c>
      <c r="AR74" s="47">
        <f>ROUND((AE74+AK74+AO74)/3,1)</f>
        <v>0</v>
      </c>
      <c r="AS74" s="12"/>
      <c r="AT74" s="12"/>
      <c r="AU74" s="12"/>
      <c r="AV74" s="12"/>
      <c r="AW74" s="12"/>
      <c r="AX74" s="46">
        <f>IF(OR($G$4="MEDIA",$G$4="BASICA - TERCER CICLO"),ROUND(((AS74*$AS$11)+(AT74*$AT$11)+(AU74*$AU$11)+(AV74*$AV$11)+(AW74*$AW$11)*100)/35%,2),ROUND((AS74*$AS$11)+(AT74*$AT$11)+(AU74*$AU$11)+(AV74*$AV$11)+(AW74*$AW$11),2))</f>
        <v>0</v>
      </c>
      <c r="AY74" s="12"/>
      <c r="AZ74" s="12"/>
      <c r="BA74" s="12"/>
      <c r="BB74" s="12"/>
      <c r="BC74" s="12"/>
      <c r="BD74" s="46">
        <f>IF(OR($G$4="MEDIA",$G$4="BASICA - TERCER CICLO"),ROUND(((AY74*$AY$11)+(AZ74*$AZ$11)+(BA74*$BA$11)+(BB74*$BB$11)+(BC74*$BC$11)*100)/35%,2),ROUND((AY74*$AY$11)+(AZ74*$AZ$11)+(BA74*$BA$11)+(BB74*$BB$11)+(BC74*$BC$11),2))</f>
        <v>0</v>
      </c>
      <c r="BE74" s="12"/>
      <c r="BF74" s="12"/>
      <c r="BG74" s="12"/>
      <c r="BH74" s="46">
        <f>IF(OR($G$4="MEDIA",$G$4="BASICA - TERCER CICLO"),ROUND(((BE74*$BE$11)+(BF74*$BF$11)+(BG74*$BG$11)*100)/30%,2),ROUND(((BE74*$BE$11)+(BF74*$BF$11)+(BG74*$BG$11)*100)/30%,2))</f>
        <v>0</v>
      </c>
      <c r="BI74" s="12"/>
      <c r="BJ74" s="14">
        <f>IF(OR($G$4="MEDIA",$G$4="BASICA - TERCER CICLO"),ROUND((BI74*$BI$11),2),ROUND((BI74*$BI$11),0))</f>
        <v>0</v>
      </c>
      <c r="BK74" s="47">
        <f>ROUND((AX74+BD74+BH74)/3,1)</f>
        <v>0</v>
      </c>
      <c r="BL74" s="12"/>
      <c r="BM74" s="12"/>
      <c r="BN74" s="12"/>
      <c r="BO74" s="12"/>
      <c r="BP74" s="12"/>
      <c r="BQ74" s="13">
        <f>IF(OR($G$4="MEDIA",$G$4="BASICA - TERCER CICLO"),ROUND(((BL74*$BL$11)+(BM74*$BM$11)+(BN74*$BN$11)+(BO74*$BO$11)+(BP74*$BP$11)*100)/35%,2),ROUND(((BL74*$BL$11)+(BM74*$BM$11)+(BN74*$BN$11)+(BO74*$BO$11)+(BP74*$BP$11)*100)/35%,2))</f>
        <v>0</v>
      </c>
      <c r="BR74" s="12"/>
      <c r="BS74" s="12"/>
      <c r="BT74" s="12"/>
      <c r="BU74" s="12"/>
      <c r="BV74" s="12"/>
      <c r="BW74" s="13">
        <f>IF(OR($G$4="MEDIA",$G$4="BASICA - TERCER CICLO"),ROUND(((BR74*$BR$11)+(BS74*$BS$11)+(BT74*$BT$11)+(BU74*$BU$11)+(BV74*$BV$11)*100)/35%,2),ROUND(((BR74*$BR$11)+(BS74*$BS$11)+(BT74*$BT$11)+(BU74*$BU$11)+(BV74*$BP$11)*100)/35%,2))</f>
        <v>0</v>
      </c>
      <c r="BX74" s="12"/>
      <c r="BY74" s="12"/>
      <c r="BZ74" s="12"/>
      <c r="CA74" s="13">
        <f>IF(OR($G$4="MEDIA",$G$4="BASICA - TERCER CICLO"),ROUND(((BX74*$BX$11)+(BY74*$BY$11)+(BZ74*$BZ$11)*100)/30%,2),ROUND(((BX74*$BX$11)+(BY74*$BY$11)+(BZ74*$BZ$11)*100)/30%,2))</f>
        <v>0</v>
      </c>
      <c r="CB74" s="12"/>
      <c r="CC74" s="14">
        <f>IF(OR($G$4="MEDIA",$G$4="BASICA - TERCER CICLO"),ROUND((CB74*$BI$11),2),ROUND((CB74*$BI$11),0))</f>
        <v>0</v>
      </c>
      <c r="CD74" s="28">
        <f>IF(OR($G$4="MEDIA",$G$4="BASICA - TERCER CICLO"),ROUND((BQ74+BW74+CA74+CC74),1),IF($G$4="BASICA",ROUND((BQ74+BW74+CA74+CC74),0),ROUND((BQ74+BW74+CA74+CC74),1)))</f>
        <v>0</v>
      </c>
      <c r="CE74" s="28">
        <f>IF($G$4 = "MEDIA",ROUND(((Y74+AR74+BK74+CD74)/4),0),ROUND(((Y74+AR74+BK74)/3),0))</f>
        <v>0</v>
      </c>
      <c r="CF74" s="21"/>
      <c r="CG74" s="28">
        <f>IF(AND(CE74&lt;5,$G$4="BASICA"),ROUND((CE74+CF74)/2,0),IF(AND(CE74&lt;6,$G$4="MEDIA"),ROUND((CE74+CF74)/2,0),CE74))</f>
        <v>0</v>
      </c>
      <c r="CH74" s="16" t="str">
        <f>IF($G$4="MEDIA",IF(CG74&gt;=6,"Aprobado","Reprobado"),IF(CG74&gt;=5,"Aprobado","Reprobado"))</f>
        <v>Reprobado</v>
      </c>
    </row>
    <row r="75" spans="1:86" customHeight="1" ht="20.25">
      <c r="A75" s="43">
        <v>63</v>
      </c>
      <c r="B75" s="44">
        <v>10282521</v>
      </c>
      <c r="C75" s="44">
        <v>4405</v>
      </c>
      <c r="D75" s="44">
        <v>27011</v>
      </c>
      <c r="E75" s="44" t="s">
        <v>100</v>
      </c>
      <c r="F75" s="45" t="s">
        <v>39</v>
      </c>
      <c r="G75" s="32"/>
      <c r="H75" s="12"/>
      <c r="I75" s="12"/>
      <c r="J75" s="12"/>
      <c r="K75" s="12"/>
      <c r="L75" s="46">
        <f>IF(OR($G$4="MEDIA",$G$4="BASICA - TERCER CICLO"),ROUND(((G75*$G$11)+(H75*$H$11)+(I75*$I$11)+(J75*$J$11)+(K75*$K$11)*100)/35%,2),ROUND((G75*$G$11)+(H75*$H$11)+(I75*$I$11)+(J75*$J$11)+(K75*$K$11),2))</f>
        <v>0</v>
      </c>
      <c r="M75" s="12"/>
      <c r="N75" s="12"/>
      <c r="O75" s="12"/>
      <c r="P75" s="12"/>
      <c r="Q75" s="12"/>
      <c r="R75" s="46">
        <f>IF(OR($G$4="MEDIA",$G$4="BASICA - TERCER CICLO"),ROUND(((M75*$M$11)+(N75*$N$11)+(O75*$O$11)+(P75*$P$11)+(Q75*$Q$11)*100)/35%,2),ROUND((M75*$M$11)+(N75*$N$11)+(O75*$O$11)+(P75*$P$11)+(Q75*$Q$11),2))</f>
        <v>0</v>
      </c>
      <c r="S75" s="12"/>
      <c r="T75" s="12"/>
      <c r="U75" s="12"/>
      <c r="V75" s="13">
        <f>IF(OR($G$4="MEDIA",$G$4="BASICA - TERCER CICLO"),ROUND(((S75*$S$11)+(T75*$T$11)+(U75*$U$11)*100)/30%,2),ROUND(((S75*$S$11)+(T75*$T$11)+(U75*$U$11)*100)/30%,2))</f>
        <v>0</v>
      </c>
      <c r="W75" s="12"/>
      <c r="X75" s="14">
        <f>IF(OR($G$4="MEDIA",$G$4="BASICA - TERCER CICLO"),ROUND((W75*$W$11),2),ROUND((W75*$W$11),0))</f>
        <v>0</v>
      </c>
      <c r="Y75" s="47">
        <f>ROUND((L75+R75+V75)/3,1)</f>
        <v>0</v>
      </c>
      <c r="Z75" s="12"/>
      <c r="AA75" s="12"/>
      <c r="AB75" s="12"/>
      <c r="AC75" s="12"/>
      <c r="AD75" s="12"/>
      <c r="AE75" s="46">
        <f>IF(OR($G$4="MEDIA",$G$4="BASICA - TERCER CICLO"),ROUND(((Z75*$Z$11)+(AA75*$AA$11)+(AB75*$AB$11)+(AC75*$AC$11)+(AD75*$AD$11)*100)/35%,2),ROUND((Z75*$Z$11)+(AA75*$AA$11)+(AB75*$AB$11)+(AC75*$AC$11)+(AD75*$AD$11),2))</f>
        <v>0</v>
      </c>
      <c r="AF75" s="12"/>
      <c r="AG75" s="12"/>
      <c r="AH75" s="12"/>
      <c r="AI75" s="12"/>
      <c r="AJ75" s="12"/>
      <c r="AK75" s="46">
        <f>IF(OR($G$4="MEDIA",$G$4="BASICA - TERCER CICLO"),ROUND(((AF75*$AF$11)+(AG75*$AG$11)+(AH75*$AH$11)+(AI75*$AI$11)+(AJ75*$AJ$11)*100)/35%,2),ROUND((AF75*$AF$11)+(AG75*$AG$11)+(AH75*$AH$11)+(AI75*$AI$11)+(AJ75*$AJ$11),2))</f>
        <v>0</v>
      </c>
      <c r="AL75" s="12"/>
      <c r="AM75" s="12"/>
      <c r="AN75" s="12"/>
      <c r="AO75" s="46">
        <f>IF(OR($G$4="MEDIA",$G$4="BASICA - TERCER CICLO"),ROUND(((AL75*$AL$11)+(AM75*$AM$11)+(AN75*$AN$11)*100)/30%,2),ROUND(((AL75*$AL$11)+(AM75*$AM$11)+(AN75*$AN$11)*100)/30%,2))</f>
        <v>0</v>
      </c>
      <c r="AP75" s="12"/>
      <c r="AQ75" s="14">
        <f>IF(OR($G$4="MEDIA",$G$4="BASICA - TERCER CICLO"),ROUND((AP75*$AP$11),2),ROUND((AP75*$AP$11),0))</f>
        <v>0</v>
      </c>
      <c r="AR75" s="47">
        <f>ROUND((AE75+AK75+AO75)/3,1)</f>
        <v>0</v>
      </c>
      <c r="AS75" s="12"/>
      <c r="AT75" s="12"/>
      <c r="AU75" s="12"/>
      <c r="AV75" s="12"/>
      <c r="AW75" s="12"/>
      <c r="AX75" s="46">
        <f>IF(OR($G$4="MEDIA",$G$4="BASICA - TERCER CICLO"),ROUND(((AS75*$AS$11)+(AT75*$AT$11)+(AU75*$AU$11)+(AV75*$AV$11)+(AW75*$AW$11)*100)/35%,2),ROUND((AS75*$AS$11)+(AT75*$AT$11)+(AU75*$AU$11)+(AV75*$AV$11)+(AW75*$AW$11),2))</f>
        <v>0</v>
      </c>
      <c r="AY75" s="12"/>
      <c r="AZ75" s="12"/>
      <c r="BA75" s="12"/>
      <c r="BB75" s="12"/>
      <c r="BC75" s="12"/>
      <c r="BD75" s="46">
        <f>IF(OR($G$4="MEDIA",$G$4="BASICA - TERCER CICLO"),ROUND(((AY75*$AY$11)+(AZ75*$AZ$11)+(BA75*$BA$11)+(BB75*$BB$11)+(BC75*$BC$11)*100)/35%,2),ROUND((AY75*$AY$11)+(AZ75*$AZ$11)+(BA75*$BA$11)+(BB75*$BB$11)+(BC75*$BC$11),2))</f>
        <v>0</v>
      </c>
      <c r="BE75" s="12"/>
      <c r="BF75" s="12"/>
      <c r="BG75" s="12"/>
      <c r="BH75" s="46">
        <f>IF(OR($G$4="MEDIA",$G$4="BASICA - TERCER CICLO"),ROUND(((BE75*$BE$11)+(BF75*$BF$11)+(BG75*$BG$11)*100)/30%,2),ROUND(((BE75*$BE$11)+(BF75*$BF$11)+(BG75*$BG$11)*100)/30%,2))</f>
        <v>0</v>
      </c>
      <c r="BI75" s="12"/>
      <c r="BJ75" s="14">
        <f>IF(OR($G$4="MEDIA",$G$4="BASICA - TERCER CICLO"),ROUND((BI75*$BI$11),2),ROUND((BI75*$BI$11),0))</f>
        <v>0</v>
      </c>
      <c r="BK75" s="47">
        <f>ROUND((AX75+BD75+BH75)/3,1)</f>
        <v>0</v>
      </c>
      <c r="BL75" s="12"/>
      <c r="BM75" s="12"/>
      <c r="BN75" s="12"/>
      <c r="BO75" s="12"/>
      <c r="BP75" s="12"/>
      <c r="BQ75" s="13">
        <f>IF(OR($G$4="MEDIA",$G$4="BASICA - TERCER CICLO"),ROUND(((BL75*$BL$11)+(BM75*$BM$11)+(BN75*$BN$11)+(BO75*$BO$11)+(BP75*$BP$11)*100)/35%,2),ROUND(((BL75*$BL$11)+(BM75*$BM$11)+(BN75*$BN$11)+(BO75*$BO$11)+(BP75*$BP$11)*100)/35%,2))</f>
        <v>0</v>
      </c>
      <c r="BR75" s="12"/>
      <c r="BS75" s="12"/>
      <c r="BT75" s="12"/>
      <c r="BU75" s="12"/>
      <c r="BV75" s="12"/>
      <c r="BW75" s="13">
        <f>IF(OR($G$4="MEDIA",$G$4="BASICA - TERCER CICLO"),ROUND(((BR75*$BR$11)+(BS75*$BS$11)+(BT75*$BT$11)+(BU75*$BU$11)+(BV75*$BV$11)*100)/35%,2),ROUND(((BR75*$BR$11)+(BS75*$BS$11)+(BT75*$BT$11)+(BU75*$BU$11)+(BV75*$BP$11)*100)/35%,2))</f>
        <v>0</v>
      </c>
      <c r="BX75" s="12"/>
      <c r="BY75" s="12"/>
      <c r="BZ75" s="12"/>
      <c r="CA75" s="13">
        <f>IF(OR($G$4="MEDIA",$G$4="BASICA - TERCER CICLO"),ROUND(((BX75*$BX$11)+(BY75*$BY$11)+(BZ75*$BZ$11)*100)/30%,2),ROUND(((BX75*$BX$11)+(BY75*$BY$11)+(BZ75*$BZ$11)*100)/30%,2))</f>
        <v>0</v>
      </c>
      <c r="CB75" s="12"/>
      <c r="CC75" s="14">
        <f>IF(OR($G$4="MEDIA",$G$4="BASICA - TERCER CICLO"),ROUND((CB75*$BI$11),2),ROUND((CB75*$BI$11),0))</f>
        <v>0</v>
      </c>
      <c r="CD75" s="28">
        <f>IF(OR($G$4="MEDIA",$G$4="BASICA - TERCER CICLO"),ROUND((BQ75+BW75+CA75+CC75),1),IF($G$4="BASICA",ROUND((BQ75+BW75+CA75+CC75),0),ROUND((BQ75+BW75+CA75+CC75),1)))</f>
        <v>0</v>
      </c>
      <c r="CE75" s="28">
        <f>IF($G$4 = "MEDIA",ROUND(((Y75+AR75+BK75+CD75)/4),0),ROUND(((Y75+AR75+BK75)/3),0))</f>
        <v>0</v>
      </c>
      <c r="CF75" s="21"/>
      <c r="CG75" s="28">
        <f>IF(AND(CE75&lt;5,$G$4="BASICA"),ROUND((CE75+CF75)/2,0),IF(AND(CE75&lt;6,$G$4="MEDIA"),ROUND((CE75+CF75)/2,0),CE75))</f>
        <v>0</v>
      </c>
      <c r="CH75" s="16" t="str">
        <f>IF($G$4="MEDIA",IF(CG75&gt;=6,"Aprobado","Reprobado"),IF(CG75&gt;=5,"Aprobado","Reprobado"))</f>
        <v>Reprobado</v>
      </c>
    </row>
    <row r="76" spans="1:86" customHeight="1" ht="20.25">
      <c r="A76" s="43">
        <v>64</v>
      </c>
      <c r="B76" s="44">
        <v>10330811</v>
      </c>
      <c r="C76" s="44">
        <v>5040</v>
      </c>
      <c r="D76" s="44">
        <v>27012</v>
      </c>
      <c r="E76" s="44" t="s">
        <v>101</v>
      </c>
      <c r="F76" s="45" t="s">
        <v>37</v>
      </c>
      <c r="G76" s="32"/>
      <c r="H76" s="12"/>
      <c r="I76" s="12"/>
      <c r="J76" s="12"/>
      <c r="K76" s="12"/>
      <c r="L76" s="46">
        <f>IF(OR($G$4="MEDIA",$G$4="BASICA - TERCER CICLO"),ROUND(((G76*$G$11)+(H76*$H$11)+(I76*$I$11)+(J76*$J$11)+(K76*$K$11)*100)/35%,2),ROUND((G76*$G$11)+(H76*$H$11)+(I76*$I$11)+(J76*$J$11)+(K76*$K$11),2))</f>
        <v>0</v>
      </c>
      <c r="M76" s="12"/>
      <c r="N76" s="12"/>
      <c r="O76" s="12"/>
      <c r="P76" s="12"/>
      <c r="Q76" s="12"/>
      <c r="R76" s="46">
        <f>IF(OR($G$4="MEDIA",$G$4="BASICA - TERCER CICLO"),ROUND(((M76*$M$11)+(N76*$N$11)+(O76*$O$11)+(P76*$P$11)+(Q76*$Q$11)*100)/35%,2),ROUND((M76*$M$11)+(N76*$N$11)+(O76*$O$11)+(P76*$P$11)+(Q76*$Q$11),2))</f>
        <v>0</v>
      </c>
      <c r="S76" s="12"/>
      <c r="T76" s="12"/>
      <c r="U76" s="12"/>
      <c r="V76" s="13">
        <f>IF(OR($G$4="MEDIA",$G$4="BASICA - TERCER CICLO"),ROUND(((S76*$S$11)+(T76*$T$11)+(U76*$U$11)*100)/30%,2),ROUND(((S76*$S$11)+(T76*$T$11)+(U76*$U$11)*100)/30%,2))</f>
        <v>0</v>
      </c>
      <c r="W76" s="12"/>
      <c r="X76" s="14">
        <f>IF(OR($G$4="MEDIA",$G$4="BASICA - TERCER CICLO"),ROUND((W76*$W$11),2),ROUND((W76*$W$11),0))</f>
        <v>0</v>
      </c>
      <c r="Y76" s="47">
        <f>ROUND((L76+R76+V76)/3,1)</f>
        <v>0</v>
      </c>
      <c r="Z76" s="12"/>
      <c r="AA76" s="12"/>
      <c r="AB76" s="12"/>
      <c r="AC76" s="12"/>
      <c r="AD76" s="12"/>
      <c r="AE76" s="46">
        <f>IF(OR($G$4="MEDIA",$G$4="BASICA - TERCER CICLO"),ROUND(((Z76*$Z$11)+(AA76*$AA$11)+(AB76*$AB$11)+(AC76*$AC$11)+(AD76*$AD$11)*100)/35%,2),ROUND((Z76*$Z$11)+(AA76*$AA$11)+(AB76*$AB$11)+(AC76*$AC$11)+(AD76*$AD$11),2))</f>
        <v>0</v>
      </c>
      <c r="AF76" s="12"/>
      <c r="AG76" s="12"/>
      <c r="AH76" s="12"/>
      <c r="AI76" s="12"/>
      <c r="AJ76" s="12"/>
      <c r="AK76" s="46">
        <f>IF(OR($G$4="MEDIA",$G$4="BASICA - TERCER CICLO"),ROUND(((AF76*$AF$11)+(AG76*$AG$11)+(AH76*$AH$11)+(AI76*$AI$11)+(AJ76*$AJ$11)*100)/35%,2),ROUND((AF76*$AF$11)+(AG76*$AG$11)+(AH76*$AH$11)+(AI76*$AI$11)+(AJ76*$AJ$11),2))</f>
        <v>0</v>
      </c>
      <c r="AL76" s="12"/>
      <c r="AM76" s="12"/>
      <c r="AN76" s="12"/>
      <c r="AO76" s="46">
        <f>IF(OR($G$4="MEDIA",$G$4="BASICA - TERCER CICLO"),ROUND(((AL76*$AL$11)+(AM76*$AM$11)+(AN76*$AN$11)*100)/30%,2),ROUND(((AL76*$AL$11)+(AM76*$AM$11)+(AN76*$AN$11)*100)/30%,2))</f>
        <v>0</v>
      </c>
      <c r="AP76" s="12"/>
      <c r="AQ76" s="14">
        <f>IF(OR($G$4="MEDIA",$G$4="BASICA - TERCER CICLO"),ROUND((AP76*$AP$11),2),ROUND((AP76*$AP$11),0))</f>
        <v>0</v>
      </c>
      <c r="AR76" s="47">
        <f>ROUND((AE76+AK76+AO76)/3,1)</f>
        <v>0</v>
      </c>
      <c r="AS76" s="12"/>
      <c r="AT76" s="12"/>
      <c r="AU76" s="12"/>
      <c r="AV76" s="12"/>
      <c r="AW76" s="12"/>
      <c r="AX76" s="46">
        <f>IF(OR($G$4="MEDIA",$G$4="BASICA - TERCER CICLO"),ROUND(((AS76*$AS$11)+(AT76*$AT$11)+(AU76*$AU$11)+(AV76*$AV$11)+(AW76*$AW$11)*100)/35%,2),ROUND((AS76*$AS$11)+(AT76*$AT$11)+(AU76*$AU$11)+(AV76*$AV$11)+(AW76*$AW$11),2))</f>
        <v>0</v>
      </c>
      <c r="AY76" s="12"/>
      <c r="AZ76" s="12"/>
      <c r="BA76" s="12"/>
      <c r="BB76" s="12"/>
      <c r="BC76" s="12"/>
      <c r="BD76" s="46">
        <f>IF(OR($G$4="MEDIA",$G$4="BASICA - TERCER CICLO"),ROUND(((AY76*$AY$11)+(AZ76*$AZ$11)+(BA76*$BA$11)+(BB76*$BB$11)+(BC76*$BC$11)*100)/35%,2),ROUND((AY76*$AY$11)+(AZ76*$AZ$11)+(BA76*$BA$11)+(BB76*$BB$11)+(BC76*$BC$11),2))</f>
        <v>0</v>
      </c>
      <c r="BE76" s="12"/>
      <c r="BF76" s="12"/>
      <c r="BG76" s="12"/>
      <c r="BH76" s="46">
        <f>IF(OR($G$4="MEDIA",$G$4="BASICA - TERCER CICLO"),ROUND(((BE76*$BE$11)+(BF76*$BF$11)+(BG76*$BG$11)*100)/30%,2),ROUND(((BE76*$BE$11)+(BF76*$BF$11)+(BG76*$BG$11)*100)/30%,2))</f>
        <v>0</v>
      </c>
      <c r="BI76" s="12"/>
      <c r="BJ76" s="14">
        <f>IF(OR($G$4="MEDIA",$G$4="BASICA - TERCER CICLO"),ROUND((BI76*$BI$11),2),ROUND((BI76*$BI$11),0))</f>
        <v>0</v>
      </c>
      <c r="BK76" s="47">
        <f>ROUND((AX76+BD76+BH76)/3,1)</f>
        <v>0</v>
      </c>
      <c r="BL76" s="12"/>
      <c r="BM76" s="12"/>
      <c r="BN76" s="12"/>
      <c r="BO76" s="12"/>
      <c r="BP76" s="12"/>
      <c r="BQ76" s="13">
        <f>IF(OR($G$4="MEDIA",$G$4="BASICA - TERCER CICLO"),ROUND(((BL76*$BL$11)+(BM76*$BM$11)+(BN76*$BN$11)+(BO76*$BO$11)+(BP76*$BP$11)*100)/35%,2),ROUND(((BL76*$BL$11)+(BM76*$BM$11)+(BN76*$BN$11)+(BO76*$BO$11)+(BP76*$BP$11)*100)/35%,2))</f>
        <v>0</v>
      </c>
      <c r="BR76" s="12"/>
      <c r="BS76" s="12"/>
      <c r="BT76" s="12"/>
      <c r="BU76" s="12"/>
      <c r="BV76" s="12"/>
      <c r="BW76" s="13">
        <f>IF(OR($G$4="MEDIA",$G$4="BASICA - TERCER CICLO"),ROUND(((BR76*$BR$11)+(BS76*$BS$11)+(BT76*$BT$11)+(BU76*$BU$11)+(BV76*$BV$11)*100)/35%,2),ROUND(((BR76*$BR$11)+(BS76*$BS$11)+(BT76*$BT$11)+(BU76*$BU$11)+(BV76*$BP$11)*100)/35%,2))</f>
        <v>0</v>
      </c>
      <c r="BX76" s="12"/>
      <c r="BY76" s="12"/>
      <c r="BZ76" s="12"/>
      <c r="CA76" s="13">
        <f>IF(OR($G$4="MEDIA",$G$4="BASICA - TERCER CICLO"),ROUND(((BX76*$BX$11)+(BY76*$BY$11)+(BZ76*$BZ$11)*100)/30%,2),ROUND(((BX76*$BX$11)+(BY76*$BY$11)+(BZ76*$BZ$11)*100)/30%,2))</f>
        <v>0</v>
      </c>
      <c r="CB76" s="12"/>
      <c r="CC76" s="14">
        <f>IF(OR($G$4="MEDIA",$G$4="BASICA - TERCER CICLO"),ROUND((CB76*$BI$11),2),ROUND((CB76*$BI$11),0))</f>
        <v>0</v>
      </c>
      <c r="CD76" s="28">
        <f>IF(OR($G$4="MEDIA",$G$4="BASICA - TERCER CICLO"),ROUND((BQ76+BW76+CA76+CC76),1),IF($G$4="BASICA",ROUND((BQ76+BW76+CA76+CC76),0),ROUND((BQ76+BW76+CA76+CC76),1)))</f>
        <v>0</v>
      </c>
      <c r="CE76" s="28">
        <f>IF($G$4 = "MEDIA",ROUND(((Y76+AR76+BK76+CD76)/4),0),ROUND(((Y76+AR76+BK76)/3),0))</f>
        <v>0</v>
      </c>
      <c r="CF76" s="21"/>
      <c r="CG76" s="28">
        <f>IF(AND(CE76&lt;5,$G$4="BASICA"),ROUND((CE76+CF76)/2,0),IF(AND(CE76&lt;6,$G$4="MEDIA"),ROUND((CE76+CF76)/2,0),CE76))</f>
        <v>0</v>
      </c>
      <c r="CH76" s="16" t="str">
        <f>IF($G$4="MEDIA",IF(CG76&gt;=6,"Aprobado","Reprobado"),IF(CG76&gt;=5,"Aprobado","Reprobado"))</f>
        <v>Reprobado</v>
      </c>
    </row>
    <row r="77" spans="1:86" customHeight="1" ht="20.25">
      <c r="A77" s="43">
        <v>65</v>
      </c>
      <c r="B77" s="44">
        <v>10330800</v>
      </c>
      <c r="C77" s="44">
        <v>5045</v>
      </c>
      <c r="D77" s="44">
        <v>27013</v>
      </c>
      <c r="E77" s="44" t="s">
        <v>102</v>
      </c>
      <c r="F77" s="45" t="s">
        <v>37</v>
      </c>
      <c r="G77" s="32"/>
      <c r="H77" s="12"/>
      <c r="I77" s="12"/>
      <c r="J77" s="12"/>
      <c r="K77" s="12"/>
      <c r="L77" s="46">
        <f>IF(OR($G$4="MEDIA",$G$4="BASICA - TERCER CICLO"),ROUND(((G77*$G$11)+(H77*$H$11)+(I77*$I$11)+(J77*$J$11)+(K77*$K$11)*100)/35%,2),ROUND((G77*$G$11)+(H77*$H$11)+(I77*$I$11)+(J77*$J$11)+(K77*$K$11),2))</f>
        <v>0</v>
      </c>
      <c r="M77" s="12"/>
      <c r="N77" s="12"/>
      <c r="O77" s="12"/>
      <c r="P77" s="12"/>
      <c r="Q77" s="12"/>
      <c r="R77" s="46">
        <f>IF(OR($G$4="MEDIA",$G$4="BASICA - TERCER CICLO"),ROUND(((M77*$M$11)+(N77*$N$11)+(O77*$O$11)+(P77*$P$11)+(Q77*$Q$11)*100)/35%,2),ROUND((M77*$M$11)+(N77*$N$11)+(O77*$O$11)+(P77*$P$11)+(Q77*$Q$11),2))</f>
        <v>0</v>
      </c>
      <c r="S77" s="12"/>
      <c r="T77" s="12"/>
      <c r="U77" s="12"/>
      <c r="V77" s="13">
        <f>IF(OR($G$4="MEDIA",$G$4="BASICA - TERCER CICLO"),ROUND(((S77*$S$11)+(T77*$T$11)+(U77*$U$11)*100)/30%,2),ROUND(((S77*$S$11)+(T77*$T$11)+(U77*$U$11)*100)/30%,2))</f>
        <v>0</v>
      </c>
      <c r="W77" s="12"/>
      <c r="X77" s="14">
        <f>IF(OR($G$4="MEDIA",$G$4="BASICA - TERCER CICLO"),ROUND((W77*$W$11),2),ROUND((W77*$W$11),0))</f>
        <v>0</v>
      </c>
      <c r="Y77" s="47">
        <f>ROUND((L77+R77+V77)/3,1)</f>
        <v>0</v>
      </c>
      <c r="Z77" s="12"/>
      <c r="AA77" s="12"/>
      <c r="AB77" s="12"/>
      <c r="AC77" s="12"/>
      <c r="AD77" s="12"/>
      <c r="AE77" s="46">
        <f>IF(OR($G$4="MEDIA",$G$4="BASICA - TERCER CICLO"),ROUND(((Z77*$Z$11)+(AA77*$AA$11)+(AB77*$AB$11)+(AC77*$AC$11)+(AD77*$AD$11)*100)/35%,2),ROUND((Z77*$Z$11)+(AA77*$AA$11)+(AB77*$AB$11)+(AC77*$AC$11)+(AD77*$AD$11),2))</f>
        <v>0</v>
      </c>
      <c r="AF77" s="12"/>
      <c r="AG77" s="12"/>
      <c r="AH77" s="12"/>
      <c r="AI77" s="12"/>
      <c r="AJ77" s="12"/>
      <c r="AK77" s="46">
        <f>IF(OR($G$4="MEDIA",$G$4="BASICA - TERCER CICLO"),ROUND(((AF77*$AF$11)+(AG77*$AG$11)+(AH77*$AH$11)+(AI77*$AI$11)+(AJ77*$AJ$11)*100)/35%,2),ROUND((AF77*$AF$11)+(AG77*$AG$11)+(AH77*$AH$11)+(AI77*$AI$11)+(AJ77*$AJ$11),2))</f>
        <v>0</v>
      </c>
      <c r="AL77" s="12"/>
      <c r="AM77" s="12"/>
      <c r="AN77" s="12"/>
      <c r="AO77" s="46">
        <f>IF(OR($G$4="MEDIA",$G$4="BASICA - TERCER CICLO"),ROUND(((AL77*$AL$11)+(AM77*$AM$11)+(AN77*$AN$11)*100)/30%,2),ROUND(((AL77*$AL$11)+(AM77*$AM$11)+(AN77*$AN$11)*100)/30%,2))</f>
        <v>0</v>
      </c>
      <c r="AP77" s="12"/>
      <c r="AQ77" s="14">
        <f>IF(OR($G$4="MEDIA",$G$4="BASICA - TERCER CICLO"),ROUND((AP77*$AP$11),2),ROUND((AP77*$AP$11),0))</f>
        <v>0</v>
      </c>
      <c r="AR77" s="47">
        <f>ROUND((AE77+AK77+AO77)/3,1)</f>
        <v>0</v>
      </c>
      <c r="AS77" s="12"/>
      <c r="AT77" s="12"/>
      <c r="AU77" s="12"/>
      <c r="AV77" s="12"/>
      <c r="AW77" s="12"/>
      <c r="AX77" s="46">
        <f>IF(OR($G$4="MEDIA",$G$4="BASICA - TERCER CICLO"),ROUND(((AS77*$AS$11)+(AT77*$AT$11)+(AU77*$AU$11)+(AV77*$AV$11)+(AW77*$AW$11)*100)/35%,2),ROUND((AS77*$AS$11)+(AT77*$AT$11)+(AU77*$AU$11)+(AV77*$AV$11)+(AW77*$AW$11),2))</f>
        <v>0</v>
      </c>
      <c r="AY77" s="12"/>
      <c r="AZ77" s="12"/>
      <c r="BA77" s="12"/>
      <c r="BB77" s="12"/>
      <c r="BC77" s="12"/>
      <c r="BD77" s="46">
        <f>IF(OR($G$4="MEDIA",$G$4="BASICA - TERCER CICLO"),ROUND(((AY77*$AY$11)+(AZ77*$AZ$11)+(BA77*$BA$11)+(BB77*$BB$11)+(BC77*$BC$11)*100)/35%,2),ROUND((AY77*$AY$11)+(AZ77*$AZ$11)+(BA77*$BA$11)+(BB77*$BB$11)+(BC77*$BC$11),2))</f>
        <v>0</v>
      </c>
      <c r="BE77" s="12"/>
      <c r="BF77" s="12"/>
      <c r="BG77" s="12"/>
      <c r="BH77" s="46">
        <f>IF(OR($G$4="MEDIA",$G$4="BASICA - TERCER CICLO"),ROUND(((BE77*$BE$11)+(BF77*$BF$11)+(BG77*$BG$11)*100)/30%,2),ROUND(((BE77*$BE$11)+(BF77*$BF$11)+(BG77*$BG$11)*100)/30%,2))</f>
        <v>0</v>
      </c>
      <c r="BI77" s="12"/>
      <c r="BJ77" s="14">
        <f>IF(OR($G$4="MEDIA",$G$4="BASICA - TERCER CICLO"),ROUND((BI77*$BI$11),2),ROUND((BI77*$BI$11),0))</f>
        <v>0</v>
      </c>
      <c r="BK77" s="47">
        <f>ROUND((AX77+BD77+BH77)/3,1)</f>
        <v>0</v>
      </c>
      <c r="BL77" s="12"/>
      <c r="BM77" s="12"/>
      <c r="BN77" s="12"/>
      <c r="BO77" s="12"/>
      <c r="BP77" s="12"/>
      <c r="BQ77" s="13">
        <f>IF(OR($G$4="MEDIA",$G$4="BASICA - TERCER CICLO"),ROUND(((BL77*$BL$11)+(BM77*$BM$11)+(BN77*$BN$11)+(BO77*$BO$11)+(BP77*$BP$11)*100)/35%,2),ROUND(((BL77*$BL$11)+(BM77*$BM$11)+(BN77*$BN$11)+(BO77*$BO$11)+(BP77*$BP$11)*100)/35%,2))</f>
        <v>0</v>
      </c>
      <c r="BR77" s="12"/>
      <c r="BS77" s="12"/>
      <c r="BT77" s="12"/>
      <c r="BU77" s="12"/>
      <c r="BV77" s="12"/>
      <c r="BW77" s="13">
        <f>IF(OR($G$4="MEDIA",$G$4="BASICA - TERCER CICLO"),ROUND(((BR77*$BR$11)+(BS77*$BS$11)+(BT77*$BT$11)+(BU77*$BU$11)+(BV77*$BV$11)*100)/35%,2),ROUND(((BR77*$BR$11)+(BS77*$BS$11)+(BT77*$BT$11)+(BU77*$BU$11)+(BV77*$BP$11)*100)/35%,2))</f>
        <v>0</v>
      </c>
      <c r="BX77" s="12"/>
      <c r="BY77" s="12"/>
      <c r="BZ77" s="12"/>
      <c r="CA77" s="13">
        <f>IF(OR($G$4="MEDIA",$G$4="BASICA - TERCER CICLO"),ROUND(((BX77*$BX$11)+(BY77*$BY$11)+(BZ77*$BZ$11)*100)/30%,2),ROUND(((BX77*$BX$11)+(BY77*$BY$11)+(BZ77*$BZ$11)*100)/30%,2))</f>
        <v>0</v>
      </c>
      <c r="CB77" s="12"/>
      <c r="CC77" s="14">
        <f>IF(OR($G$4="MEDIA",$G$4="BASICA - TERCER CICLO"),ROUND((CB77*$BI$11),2),ROUND((CB77*$BI$11),0))</f>
        <v>0</v>
      </c>
      <c r="CD77" s="28">
        <f>IF(OR($G$4="MEDIA",$G$4="BASICA - TERCER CICLO"),ROUND((BQ77+BW77+CA77+CC77),1),IF($G$4="BASICA",ROUND((BQ77+BW77+CA77+CC77),0),ROUND((BQ77+BW77+CA77+CC77),1)))</f>
        <v>0</v>
      </c>
      <c r="CE77" s="28">
        <f>IF($G$4 = "MEDIA",ROUND(((Y77+AR77+BK77+CD77)/4),0),ROUND(((Y77+AR77+BK77)/3),0))</f>
        <v>0</v>
      </c>
      <c r="CF77" s="21"/>
      <c r="CG77" s="28">
        <f>IF(AND(CE77&lt;5,$G$4="BASICA"),ROUND((CE77+CF77)/2,0),IF(AND(CE77&lt;6,$G$4="MEDIA"),ROUND((CE77+CF77)/2,0),CE77))</f>
        <v>0</v>
      </c>
      <c r="CH77" s="16" t="str">
        <f>IF($G$4="MEDIA",IF(CG77&gt;=6,"Aprobado","Reprobado"),IF(CG77&gt;=5,"Aprobado","Reprobado"))</f>
        <v>Reprobado</v>
      </c>
    </row>
    <row r="78" spans="1:86" customHeight="1" ht="20.25">
      <c r="A78" s="43">
        <v>66</v>
      </c>
      <c r="B78" s="44">
        <v>10218308</v>
      </c>
      <c r="C78" s="44">
        <v>5093</v>
      </c>
      <c r="D78" s="44">
        <v>26992</v>
      </c>
      <c r="E78" s="44" t="s">
        <v>103</v>
      </c>
      <c r="F78" s="45" t="s">
        <v>37</v>
      </c>
      <c r="G78" s="32"/>
      <c r="H78" s="12"/>
      <c r="I78" s="12"/>
      <c r="J78" s="12"/>
      <c r="K78" s="12"/>
      <c r="L78" s="46">
        <f>IF(OR($G$4="MEDIA",$G$4="BASICA - TERCER CICLO"),ROUND(((G78*$G$11)+(H78*$H$11)+(I78*$I$11)+(J78*$J$11)+(K78*$K$11)*100)/35%,2),ROUND((G78*$G$11)+(H78*$H$11)+(I78*$I$11)+(J78*$J$11)+(K78*$K$11),2))</f>
        <v>0</v>
      </c>
      <c r="M78" s="12"/>
      <c r="N78" s="12"/>
      <c r="O78" s="12"/>
      <c r="P78" s="12"/>
      <c r="Q78" s="12"/>
      <c r="R78" s="46">
        <f>IF(OR($G$4="MEDIA",$G$4="BASICA - TERCER CICLO"),ROUND(((M78*$M$11)+(N78*$N$11)+(O78*$O$11)+(P78*$P$11)+(Q78*$Q$11)*100)/35%,2),ROUND((M78*$M$11)+(N78*$N$11)+(O78*$O$11)+(P78*$P$11)+(Q78*$Q$11),2))</f>
        <v>0</v>
      </c>
      <c r="S78" s="12"/>
      <c r="T78" s="12"/>
      <c r="U78" s="12"/>
      <c r="V78" s="13">
        <f>IF(OR($G$4="MEDIA",$G$4="BASICA - TERCER CICLO"),ROUND(((S78*$S$11)+(T78*$T$11)+(U78*$U$11)*100)/30%,2),ROUND(((S78*$S$11)+(T78*$T$11)+(U78*$U$11)*100)/30%,2))</f>
        <v>0</v>
      </c>
      <c r="W78" s="12"/>
      <c r="X78" s="14">
        <f>IF(OR($G$4="MEDIA",$G$4="BASICA - TERCER CICLO"),ROUND((W78*$W$11),2),ROUND((W78*$W$11),0))</f>
        <v>0</v>
      </c>
      <c r="Y78" s="47">
        <f>ROUND((L78+R78+V78)/3,1)</f>
        <v>0</v>
      </c>
      <c r="Z78" s="12"/>
      <c r="AA78" s="12"/>
      <c r="AB78" s="12"/>
      <c r="AC78" s="12"/>
      <c r="AD78" s="12"/>
      <c r="AE78" s="46">
        <f>IF(OR($G$4="MEDIA",$G$4="BASICA - TERCER CICLO"),ROUND(((Z78*$Z$11)+(AA78*$AA$11)+(AB78*$AB$11)+(AC78*$AC$11)+(AD78*$AD$11)*100)/35%,2),ROUND((Z78*$Z$11)+(AA78*$AA$11)+(AB78*$AB$11)+(AC78*$AC$11)+(AD78*$AD$11),2))</f>
        <v>0</v>
      </c>
      <c r="AF78" s="12"/>
      <c r="AG78" s="12"/>
      <c r="AH78" s="12"/>
      <c r="AI78" s="12"/>
      <c r="AJ78" s="12"/>
      <c r="AK78" s="46">
        <f>IF(OR($G$4="MEDIA",$G$4="BASICA - TERCER CICLO"),ROUND(((AF78*$AF$11)+(AG78*$AG$11)+(AH78*$AH$11)+(AI78*$AI$11)+(AJ78*$AJ$11)*100)/35%,2),ROUND((AF78*$AF$11)+(AG78*$AG$11)+(AH78*$AH$11)+(AI78*$AI$11)+(AJ78*$AJ$11),2))</f>
        <v>0</v>
      </c>
      <c r="AL78" s="12"/>
      <c r="AM78" s="12"/>
      <c r="AN78" s="12"/>
      <c r="AO78" s="46">
        <f>IF(OR($G$4="MEDIA",$G$4="BASICA - TERCER CICLO"),ROUND(((AL78*$AL$11)+(AM78*$AM$11)+(AN78*$AN$11)*100)/30%,2),ROUND(((AL78*$AL$11)+(AM78*$AM$11)+(AN78*$AN$11)*100)/30%,2))</f>
        <v>0</v>
      </c>
      <c r="AP78" s="12"/>
      <c r="AQ78" s="14">
        <f>IF(OR($G$4="MEDIA",$G$4="BASICA - TERCER CICLO"),ROUND((AP78*$AP$11),2),ROUND((AP78*$AP$11),0))</f>
        <v>0</v>
      </c>
      <c r="AR78" s="47">
        <f>ROUND((AE78+AK78+AO78)/3,1)</f>
        <v>0</v>
      </c>
      <c r="AS78" s="12"/>
      <c r="AT78" s="12"/>
      <c r="AU78" s="12"/>
      <c r="AV78" s="12"/>
      <c r="AW78" s="12"/>
      <c r="AX78" s="46">
        <f>IF(OR($G$4="MEDIA",$G$4="BASICA - TERCER CICLO"),ROUND(((AS78*$AS$11)+(AT78*$AT$11)+(AU78*$AU$11)+(AV78*$AV$11)+(AW78*$AW$11)*100)/35%,2),ROUND((AS78*$AS$11)+(AT78*$AT$11)+(AU78*$AU$11)+(AV78*$AV$11)+(AW78*$AW$11),2))</f>
        <v>0</v>
      </c>
      <c r="AY78" s="12"/>
      <c r="AZ78" s="12"/>
      <c r="BA78" s="12"/>
      <c r="BB78" s="12"/>
      <c r="BC78" s="12"/>
      <c r="BD78" s="46">
        <f>IF(OR($G$4="MEDIA",$G$4="BASICA - TERCER CICLO"),ROUND(((AY78*$AY$11)+(AZ78*$AZ$11)+(BA78*$BA$11)+(BB78*$BB$11)+(BC78*$BC$11)*100)/35%,2),ROUND((AY78*$AY$11)+(AZ78*$AZ$11)+(BA78*$BA$11)+(BB78*$BB$11)+(BC78*$BC$11),2))</f>
        <v>0</v>
      </c>
      <c r="BE78" s="12"/>
      <c r="BF78" s="12"/>
      <c r="BG78" s="12"/>
      <c r="BH78" s="46">
        <f>IF(OR($G$4="MEDIA",$G$4="BASICA - TERCER CICLO"),ROUND(((BE78*$BE$11)+(BF78*$BF$11)+(BG78*$BG$11)*100)/30%,2),ROUND(((BE78*$BE$11)+(BF78*$BF$11)+(BG78*$BG$11)*100)/30%,2))</f>
        <v>0</v>
      </c>
      <c r="BI78" s="12"/>
      <c r="BJ78" s="14">
        <f>IF(OR($G$4="MEDIA",$G$4="BASICA - TERCER CICLO"),ROUND((BI78*$BI$11),2),ROUND((BI78*$BI$11),0))</f>
        <v>0</v>
      </c>
      <c r="BK78" s="47">
        <f>ROUND((AX78+BD78+BH78)/3,1)</f>
        <v>0</v>
      </c>
      <c r="BL78" s="12"/>
      <c r="BM78" s="12"/>
      <c r="BN78" s="12"/>
      <c r="BO78" s="12"/>
      <c r="BP78" s="12"/>
      <c r="BQ78" s="13">
        <f>IF(OR($G$4="MEDIA",$G$4="BASICA - TERCER CICLO"),ROUND(((BL78*$BL$11)+(BM78*$BM$11)+(BN78*$BN$11)+(BO78*$BO$11)+(BP78*$BP$11)*100)/35%,2),ROUND(((BL78*$BL$11)+(BM78*$BM$11)+(BN78*$BN$11)+(BO78*$BO$11)+(BP78*$BP$11)*100)/35%,2))</f>
        <v>0</v>
      </c>
      <c r="BR78" s="12"/>
      <c r="BS78" s="12"/>
      <c r="BT78" s="12"/>
      <c r="BU78" s="12"/>
      <c r="BV78" s="12"/>
      <c r="BW78" s="13">
        <f>IF(OR($G$4="MEDIA",$G$4="BASICA - TERCER CICLO"),ROUND(((BR78*$BR$11)+(BS78*$BS$11)+(BT78*$BT$11)+(BU78*$BU$11)+(BV78*$BV$11)*100)/35%,2),ROUND(((BR78*$BR$11)+(BS78*$BS$11)+(BT78*$BT$11)+(BU78*$BU$11)+(BV78*$BP$11)*100)/35%,2))</f>
        <v>0</v>
      </c>
      <c r="BX78" s="12"/>
      <c r="BY78" s="12"/>
      <c r="BZ78" s="12"/>
      <c r="CA78" s="13">
        <f>IF(OR($G$4="MEDIA",$G$4="BASICA - TERCER CICLO"),ROUND(((BX78*$BX$11)+(BY78*$BY$11)+(BZ78*$BZ$11)*100)/30%,2),ROUND(((BX78*$BX$11)+(BY78*$BY$11)+(BZ78*$BZ$11)*100)/30%,2))</f>
        <v>0</v>
      </c>
      <c r="CB78" s="12"/>
      <c r="CC78" s="14">
        <f>IF(OR($G$4="MEDIA",$G$4="BASICA - TERCER CICLO"),ROUND((CB78*$BI$11),2),ROUND((CB78*$BI$11),0))</f>
        <v>0</v>
      </c>
      <c r="CD78" s="28">
        <f>IF(OR($G$4="MEDIA",$G$4="BASICA - TERCER CICLO"),ROUND((BQ78+BW78+CA78+CC78),1),IF($G$4="BASICA",ROUND((BQ78+BW78+CA78+CC78),0),ROUND((BQ78+BW78+CA78+CC78),1)))</f>
        <v>0</v>
      </c>
      <c r="CE78" s="28">
        <f>IF($G$4 = "MEDIA",ROUND(((Y78+AR78+BK78+CD78)/4),0),ROUND(((Y78+AR78+BK78)/3),0))</f>
        <v>0</v>
      </c>
      <c r="CF78" s="21"/>
      <c r="CG78" s="28">
        <f>IF(AND(CE78&lt;5,$G$4="BASICA"),ROUND((CE78+CF78)/2,0),IF(AND(CE78&lt;6,$G$4="MEDIA"),ROUND((CE78+CF78)/2,0),CE78))</f>
        <v>0</v>
      </c>
      <c r="CH78" s="16" t="str">
        <f>IF($G$4="MEDIA",IF(CG78&gt;=6,"Aprobado","Reprobado"),IF(CG78&gt;=5,"Aprobado","Reprobado"))</f>
        <v>Reprobado</v>
      </c>
    </row>
    <row r="79" spans="1:86" customHeight="1" ht="20.25">
      <c r="A79" s="43">
        <v>67</v>
      </c>
      <c r="B79" s="44">
        <v>10493694</v>
      </c>
      <c r="C79" s="44">
        <v>5119</v>
      </c>
      <c r="D79" s="44">
        <v>27014</v>
      </c>
      <c r="E79" s="44" t="s">
        <v>104</v>
      </c>
      <c r="F79" s="45" t="s">
        <v>39</v>
      </c>
      <c r="G79" s="32"/>
      <c r="H79" s="12"/>
      <c r="I79" s="12"/>
      <c r="J79" s="12"/>
      <c r="K79" s="12"/>
      <c r="L79" s="46">
        <f>IF(OR($G$4="MEDIA",$G$4="BASICA - TERCER CICLO"),ROUND(((G79*$G$11)+(H79*$H$11)+(I79*$I$11)+(J79*$J$11)+(K79*$K$11)*100)/35%,2),ROUND((G79*$G$11)+(H79*$H$11)+(I79*$I$11)+(J79*$J$11)+(K79*$K$11),2))</f>
        <v>0</v>
      </c>
      <c r="M79" s="12"/>
      <c r="N79" s="12"/>
      <c r="O79" s="12"/>
      <c r="P79" s="12"/>
      <c r="Q79" s="12"/>
      <c r="R79" s="46">
        <f>IF(OR($G$4="MEDIA",$G$4="BASICA - TERCER CICLO"),ROUND(((M79*$M$11)+(N79*$N$11)+(O79*$O$11)+(P79*$P$11)+(Q79*$Q$11)*100)/35%,2),ROUND((M79*$M$11)+(N79*$N$11)+(O79*$O$11)+(P79*$P$11)+(Q79*$Q$11),2))</f>
        <v>0</v>
      </c>
      <c r="S79" s="12"/>
      <c r="T79" s="12"/>
      <c r="U79" s="12"/>
      <c r="V79" s="13">
        <f>IF(OR($G$4="MEDIA",$G$4="BASICA - TERCER CICLO"),ROUND(((S79*$S$11)+(T79*$T$11)+(U79*$U$11)*100)/30%,2),ROUND(((S79*$S$11)+(T79*$T$11)+(U79*$U$11)*100)/30%,2))</f>
        <v>0</v>
      </c>
      <c r="W79" s="12"/>
      <c r="X79" s="14">
        <f>IF(OR($G$4="MEDIA",$G$4="BASICA - TERCER CICLO"),ROUND((W79*$W$11),2),ROUND((W79*$W$11),0))</f>
        <v>0</v>
      </c>
      <c r="Y79" s="47">
        <f>ROUND((L79+R79+V79)/3,1)</f>
        <v>0</v>
      </c>
      <c r="Z79" s="12"/>
      <c r="AA79" s="12"/>
      <c r="AB79" s="12"/>
      <c r="AC79" s="12"/>
      <c r="AD79" s="12"/>
      <c r="AE79" s="46">
        <f>IF(OR($G$4="MEDIA",$G$4="BASICA - TERCER CICLO"),ROUND(((Z79*$Z$11)+(AA79*$AA$11)+(AB79*$AB$11)+(AC79*$AC$11)+(AD79*$AD$11)*100)/35%,2),ROUND((Z79*$Z$11)+(AA79*$AA$11)+(AB79*$AB$11)+(AC79*$AC$11)+(AD79*$AD$11),2))</f>
        <v>0</v>
      </c>
      <c r="AF79" s="12"/>
      <c r="AG79" s="12"/>
      <c r="AH79" s="12"/>
      <c r="AI79" s="12"/>
      <c r="AJ79" s="12"/>
      <c r="AK79" s="46">
        <f>IF(OR($G$4="MEDIA",$G$4="BASICA - TERCER CICLO"),ROUND(((AF79*$AF$11)+(AG79*$AG$11)+(AH79*$AH$11)+(AI79*$AI$11)+(AJ79*$AJ$11)*100)/35%,2),ROUND((AF79*$AF$11)+(AG79*$AG$11)+(AH79*$AH$11)+(AI79*$AI$11)+(AJ79*$AJ$11),2))</f>
        <v>0</v>
      </c>
      <c r="AL79" s="12"/>
      <c r="AM79" s="12"/>
      <c r="AN79" s="12"/>
      <c r="AO79" s="46">
        <f>IF(OR($G$4="MEDIA",$G$4="BASICA - TERCER CICLO"),ROUND(((AL79*$AL$11)+(AM79*$AM$11)+(AN79*$AN$11)*100)/30%,2),ROUND(((AL79*$AL$11)+(AM79*$AM$11)+(AN79*$AN$11)*100)/30%,2))</f>
        <v>0</v>
      </c>
      <c r="AP79" s="12"/>
      <c r="AQ79" s="14">
        <f>IF(OR($G$4="MEDIA",$G$4="BASICA - TERCER CICLO"),ROUND((AP79*$AP$11),2),ROUND((AP79*$AP$11),0))</f>
        <v>0</v>
      </c>
      <c r="AR79" s="47">
        <f>ROUND((AE79+AK79+AO79)/3,1)</f>
        <v>0</v>
      </c>
      <c r="AS79" s="12"/>
      <c r="AT79" s="12"/>
      <c r="AU79" s="12"/>
      <c r="AV79" s="12"/>
      <c r="AW79" s="12"/>
      <c r="AX79" s="46">
        <f>IF(OR($G$4="MEDIA",$G$4="BASICA - TERCER CICLO"),ROUND(((AS79*$AS$11)+(AT79*$AT$11)+(AU79*$AU$11)+(AV79*$AV$11)+(AW79*$AW$11)*100)/35%,2),ROUND((AS79*$AS$11)+(AT79*$AT$11)+(AU79*$AU$11)+(AV79*$AV$11)+(AW79*$AW$11),2))</f>
        <v>0</v>
      </c>
      <c r="AY79" s="12"/>
      <c r="AZ79" s="12"/>
      <c r="BA79" s="12"/>
      <c r="BB79" s="12"/>
      <c r="BC79" s="12"/>
      <c r="BD79" s="46">
        <f>IF(OR($G$4="MEDIA",$G$4="BASICA - TERCER CICLO"),ROUND(((AY79*$AY$11)+(AZ79*$AZ$11)+(BA79*$BA$11)+(BB79*$BB$11)+(BC79*$BC$11)*100)/35%,2),ROUND((AY79*$AY$11)+(AZ79*$AZ$11)+(BA79*$BA$11)+(BB79*$BB$11)+(BC79*$BC$11),2))</f>
        <v>0</v>
      </c>
      <c r="BE79" s="12"/>
      <c r="BF79" s="12"/>
      <c r="BG79" s="12"/>
      <c r="BH79" s="46">
        <f>IF(OR($G$4="MEDIA",$G$4="BASICA - TERCER CICLO"),ROUND(((BE79*$BE$11)+(BF79*$BF$11)+(BG79*$BG$11)*100)/30%,2),ROUND(((BE79*$BE$11)+(BF79*$BF$11)+(BG79*$BG$11)*100)/30%,2))</f>
        <v>0</v>
      </c>
      <c r="BI79" s="12"/>
      <c r="BJ79" s="14">
        <f>IF(OR($G$4="MEDIA",$G$4="BASICA - TERCER CICLO"),ROUND((BI79*$BI$11),2),ROUND((BI79*$BI$11),0))</f>
        <v>0</v>
      </c>
      <c r="BK79" s="47">
        <f>ROUND((AX79+BD79+BH79)/3,1)</f>
        <v>0</v>
      </c>
      <c r="BL79" s="12"/>
      <c r="BM79" s="12"/>
      <c r="BN79" s="12"/>
      <c r="BO79" s="12"/>
      <c r="BP79" s="12"/>
      <c r="BQ79" s="13">
        <f>IF(OR($G$4="MEDIA",$G$4="BASICA - TERCER CICLO"),ROUND(((BL79*$BL$11)+(BM79*$BM$11)+(BN79*$BN$11)+(BO79*$BO$11)+(BP79*$BP$11)*100)/35%,2),ROUND(((BL79*$BL$11)+(BM79*$BM$11)+(BN79*$BN$11)+(BO79*$BO$11)+(BP79*$BP$11)*100)/35%,2))</f>
        <v>0</v>
      </c>
      <c r="BR79" s="12"/>
      <c r="BS79" s="12"/>
      <c r="BT79" s="12"/>
      <c r="BU79" s="12"/>
      <c r="BV79" s="12"/>
      <c r="BW79" s="13">
        <f>IF(OR($G$4="MEDIA",$G$4="BASICA - TERCER CICLO"),ROUND(((BR79*$BR$11)+(BS79*$BS$11)+(BT79*$BT$11)+(BU79*$BU$11)+(BV79*$BV$11)*100)/35%,2),ROUND(((BR79*$BR$11)+(BS79*$BS$11)+(BT79*$BT$11)+(BU79*$BU$11)+(BV79*$BP$11)*100)/35%,2))</f>
        <v>0</v>
      </c>
      <c r="BX79" s="12"/>
      <c r="BY79" s="12"/>
      <c r="BZ79" s="12"/>
      <c r="CA79" s="13">
        <f>IF(OR($G$4="MEDIA",$G$4="BASICA - TERCER CICLO"),ROUND(((BX79*$BX$11)+(BY79*$BY$11)+(BZ79*$BZ$11)*100)/30%,2),ROUND(((BX79*$BX$11)+(BY79*$BY$11)+(BZ79*$BZ$11)*100)/30%,2))</f>
        <v>0</v>
      </c>
      <c r="CB79" s="12"/>
      <c r="CC79" s="14">
        <f>IF(OR($G$4="MEDIA",$G$4="BASICA - TERCER CICLO"),ROUND((CB79*$BI$11),2),ROUND((CB79*$BI$11),0))</f>
        <v>0</v>
      </c>
      <c r="CD79" s="28">
        <f>IF(OR($G$4="MEDIA",$G$4="BASICA - TERCER CICLO"),ROUND((BQ79+BW79+CA79+CC79),1),IF($G$4="BASICA",ROUND((BQ79+BW79+CA79+CC79),0),ROUND((BQ79+BW79+CA79+CC79),1)))</f>
        <v>0</v>
      </c>
      <c r="CE79" s="28">
        <f>IF($G$4 = "MEDIA",ROUND(((Y79+AR79+BK79+CD79)/4),0),ROUND(((Y79+AR79+BK79)/3),0))</f>
        <v>0</v>
      </c>
      <c r="CF79" s="21"/>
      <c r="CG79" s="28">
        <f>IF(AND(CE79&lt;5,$G$4="BASICA"),ROUND((CE79+CF79)/2,0),IF(AND(CE79&lt;6,$G$4="MEDIA"),ROUND((CE79+CF79)/2,0),CE79))</f>
        <v>0</v>
      </c>
      <c r="CH79" s="16" t="str">
        <f>IF($G$4="MEDIA",IF(CG79&gt;=6,"Aprobado","Reprobado"),IF(CG79&gt;=5,"Aprobado","Reprobado"))</f>
        <v>Reprobado</v>
      </c>
    </row>
    <row r="80" spans="1:86" customHeight="1" ht="20.25">
      <c r="A80" s="43">
        <v>68</v>
      </c>
      <c r="B80" s="44">
        <v>10282526</v>
      </c>
      <c r="C80" s="44">
        <v>4406</v>
      </c>
      <c r="D80" s="44">
        <v>27015</v>
      </c>
      <c r="E80" s="44" t="s">
        <v>105</v>
      </c>
      <c r="F80" s="45" t="s">
        <v>37</v>
      </c>
      <c r="G80" s="32"/>
      <c r="H80" s="12"/>
      <c r="I80" s="12"/>
      <c r="J80" s="12"/>
      <c r="K80" s="12"/>
      <c r="L80" s="46">
        <f>IF(OR($G$4="MEDIA",$G$4="BASICA - TERCER CICLO"),ROUND(((G80*$G$11)+(H80*$H$11)+(I80*$I$11)+(J80*$J$11)+(K80*$K$11)*100)/35%,2),ROUND((G80*$G$11)+(H80*$H$11)+(I80*$I$11)+(J80*$J$11)+(K80*$K$11),2))</f>
        <v>0</v>
      </c>
      <c r="M80" s="12"/>
      <c r="N80" s="12"/>
      <c r="O80" s="12"/>
      <c r="P80" s="12"/>
      <c r="Q80" s="12"/>
      <c r="R80" s="46">
        <f>IF(OR($G$4="MEDIA",$G$4="BASICA - TERCER CICLO"),ROUND(((M80*$M$11)+(N80*$N$11)+(O80*$O$11)+(P80*$P$11)+(Q80*$Q$11)*100)/35%,2),ROUND((M80*$M$11)+(N80*$N$11)+(O80*$O$11)+(P80*$P$11)+(Q80*$Q$11),2))</f>
        <v>0</v>
      </c>
      <c r="S80" s="12"/>
      <c r="T80" s="12"/>
      <c r="U80" s="12"/>
      <c r="V80" s="13">
        <f>IF(OR($G$4="MEDIA",$G$4="BASICA - TERCER CICLO"),ROUND(((S80*$S$11)+(T80*$T$11)+(U80*$U$11)*100)/30%,2),ROUND(((S80*$S$11)+(T80*$T$11)+(U80*$U$11)*100)/30%,2))</f>
        <v>0</v>
      </c>
      <c r="W80" s="12"/>
      <c r="X80" s="14">
        <f>IF(OR($G$4="MEDIA",$G$4="BASICA - TERCER CICLO"),ROUND((W80*$W$11),2),ROUND((W80*$W$11),0))</f>
        <v>0</v>
      </c>
      <c r="Y80" s="47">
        <f>ROUND((L80+R80+V80)/3,1)</f>
        <v>0</v>
      </c>
      <c r="Z80" s="12"/>
      <c r="AA80" s="12"/>
      <c r="AB80" s="12"/>
      <c r="AC80" s="12"/>
      <c r="AD80" s="12"/>
      <c r="AE80" s="46">
        <f>IF(OR($G$4="MEDIA",$G$4="BASICA - TERCER CICLO"),ROUND(((Z80*$Z$11)+(AA80*$AA$11)+(AB80*$AB$11)+(AC80*$AC$11)+(AD80*$AD$11)*100)/35%,2),ROUND((Z80*$Z$11)+(AA80*$AA$11)+(AB80*$AB$11)+(AC80*$AC$11)+(AD80*$AD$11),2))</f>
        <v>0</v>
      </c>
      <c r="AF80" s="12"/>
      <c r="AG80" s="12"/>
      <c r="AH80" s="12"/>
      <c r="AI80" s="12"/>
      <c r="AJ80" s="12"/>
      <c r="AK80" s="46">
        <f>IF(OR($G$4="MEDIA",$G$4="BASICA - TERCER CICLO"),ROUND(((AF80*$AF$11)+(AG80*$AG$11)+(AH80*$AH$11)+(AI80*$AI$11)+(AJ80*$AJ$11)*100)/35%,2),ROUND((AF80*$AF$11)+(AG80*$AG$11)+(AH80*$AH$11)+(AI80*$AI$11)+(AJ80*$AJ$11),2))</f>
        <v>0</v>
      </c>
      <c r="AL80" s="12"/>
      <c r="AM80" s="12"/>
      <c r="AN80" s="12"/>
      <c r="AO80" s="46">
        <f>IF(OR($G$4="MEDIA",$G$4="BASICA - TERCER CICLO"),ROUND(((AL80*$AL$11)+(AM80*$AM$11)+(AN80*$AN$11)*100)/30%,2),ROUND(((AL80*$AL$11)+(AM80*$AM$11)+(AN80*$AN$11)*100)/30%,2))</f>
        <v>0</v>
      </c>
      <c r="AP80" s="12"/>
      <c r="AQ80" s="14">
        <f>IF(OR($G$4="MEDIA",$G$4="BASICA - TERCER CICLO"),ROUND((AP80*$AP$11),2),ROUND((AP80*$AP$11),0))</f>
        <v>0</v>
      </c>
      <c r="AR80" s="47">
        <f>ROUND((AE80+AK80+AO80)/3,1)</f>
        <v>0</v>
      </c>
      <c r="AS80" s="12"/>
      <c r="AT80" s="12"/>
      <c r="AU80" s="12"/>
      <c r="AV80" s="12"/>
      <c r="AW80" s="12"/>
      <c r="AX80" s="46">
        <f>IF(OR($G$4="MEDIA",$G$4="BASICA - TERCER CICLO"),ROUND(((AS80*$AS$11)+(AT80*$AT$11)+(AU80*$AU$11)+(AV80*$AV$11)+(AW80*$AW$11)*100)/35%,2),ROUND((AS80*$AS$11)+(AT80*$AT$11)+(AU80*$AU$11)+(AV80*$AV$11)+(AW80*$AW$11),2))</f>
        <v>0</v>
      </c>
      <c r="AY80" s="12"/>
      <c r="AZ80" s="12"/>
      <c r="BA80" s="12"/>
      <c r="BB80" s="12"/>
      <c r="BC80" s="12"/>
      <c r="BD80" s="46">
        <f>IF(OR($G$4="MEDIA",$G$4="BASICA - TERCER CICLO"),ROUND(((AY80*$AY$11)+(AZ80*$AZ$11)+(BA80*$BA$11)+(BB80*$BB$11)+(BC80*$BC$11)*100)/35%,2),ROUND((AY80*$AY$11)+(AZ80*$AZ$11)+(BA80*$BA$11)+(BB80*$BB$11)+(BC80*$BC$11),2))</f>
        <v>0</v>
      </c>
      <c r="BE80" s="12"/>
      <c r="BF80" s="12"/>
      <c r="BG80" s="12"/>
      <c r="BH80" s="46">
        <f>IF(OR($G$4="MEDIA",$G$4="BASICA - TERCER CICLO"),ROUND(((BE80*$BE$11)+(BF80*$BF$11)+(BG80*$BG$11)*100)/30%,2),ROUND(((BE80*$BE$11)+(BF80*$BF$11)+(BG80*$BG$11)*100)/30%,2))</f>
        <v>0</v>
      </c>
      <c r="BI80" s="12"/>
      <c r="BJ80" s="14">
        <f>IF(OR($G$4="MEDIA",$G$4="BASICA - TERCER CICLO"),ROUND((BI80*$BI$11),2),ROUND((BI80*$BI$11),0))</f>
        <v>0</v>
      </c>
      <c r="BK80" s="47">
        <f>ROUND((AX80+BD80+BH80)/3,1)</f>
        <v>0</v>
      </c>
      <c r="BL80" s="12"/>
      <c r="BM80" s="12"/>
      <c r="BN80" s="12"/>
      <c r="BO80" s="12"/>
      <c r="BP80" s="12"/>
      <c r="BQ80" s="13">
        <f>IF(OR($G$4="MEDIA",$G$4="BASICA - TERCER CICLO"),ROUND(((BL80*$BL$11)+(BM80*$BM$11)+(BN80*$BN$11)+(BO80*$BO$11)+(BP80*$BP$11)*100)/35%,2),ROUND(((BL80*$BL$11)+(BM80*$BM$11)+(BN80*$BN$11)+(BO80*$BO$11)+(BP80*$BP$11)*100)/35%,2))</f>
        <v>0</v>
      </c>
      <c r="BR80" s="12"/>
      <c r="BS80" s="12"/>
      <c r="BT80" s="12"/>
      <c r="BU80" s="12"/>
      <c r="BV80" s="12"/>
      <c r="BW80" s="13">
        <f>IF(OR($G$4="MEDIA",$G$4="BASICA - TERCER CICLO"),ROUND(((BR80*$BR$11)+(BS80*$BS$11)+(BT80*$BT$11)+(BU80*$BU$11)+(BV80*$BV$11)*100)/35%,2),ROUND(((BR80*$BR$11)+(BS80*$BS$11)+(BT80*$BT$11)+(BU80*$BU$11)+(BV80*$BP$11)*100)/35%,2))</f>
        <v>0</v>
      </c>
      <c r="BX80" s="12"/>
      <c r="BY80" s="12"/>
      <c r="BZ80" s="12"/>
      <c r="CA80" s="13">
        <f>IF(OR($G$4="MEDIA",$G$4="BASICA - TERCER CICLO"),ROUND(((BX80*$BX$11)+(BY80*$BY$11)+(BZ80*$BZ$11)*100)/30%,2),ROUND(((BX80*$BX$11)+(BY80*$BY$11)+(BZ80*$BZ$11)*100)/30%,2))</f>
        <v>0</v>
      </c>
      <c r="CB80" s="12"/>
      <c r="CC80" s="14">
        <f>IF(OR($G$4="MEDIA",$G$4="BASICA - TERCER CICLO"),ROUND((CB80*$BI$11),2),ROUND((CB80*$BI$11),0))</f>
        <v>0</v>
      </c>
      <c r="CD80" s="28">
        <f>IF(OR($G$4="MEDIA",$G$4="BASICA - TERCER CICLO"),ROUND((BQ80+BW80+CA80+CC80),1),IF($G$4="BASICA",ROUND((BQ80+BW80+CA80+CC80),0),ROUND((BQ80+BW80+CA80+CC80),1)))</f>
        <v>0</v>
      </c>
      <c r="CE80" s="28">
        <f>IF($G$4 = "MEDIA",ROUND(((Y80+AR80+BK80+CD80)/4),0),ROUND(((Y80+AR80+BK80)/3),0))</f>
        <v>0</v>
      </c>
      <c r="CF80" s="21"/>
      <c r="CG80" s="28">
        <f>IF(AND(CE80&lt;5,$G$4="BASICA"),ROUND((CE80+CF80)/2,0),IF(AND(CE80&lt;6,$G$4="MEDIA"),ROUND((CE80+CF80)/2,0),CE80))</f>
        <v>0</v>
      </c>
      <c r="CH80" s="16" t="str">
        <f>IF($G$4="MEDIA",IF(CG80&gt;=6,"Aprobado","Reprobado"),IF(CG80&gt;=5,"Aprobado","Reprobado"))</f>
        <v>Reprobado</v>
      </c>
    </row>
    <row r="81" spans="1:86" customHeight="1" ht="20.25">
      <c r="A81" s="43">
        <v>69</v>
      </c>
      <c r="B81" s="44">
        <v>10414902</v>
      </c>
      <c r="C81" s="44">
        <v>4982</v>
      </c>
      <c r="D81" s="44">
        <v>27016</v>
      </c>
      <c r="E81" s="44" t="s">
        <v>106</v>
      </c>
      <c r="F81" s="45" t="s">
        <v>39</v>
      </c>
      <c r="G81" s="32"/>
      <c r="H81" s="12"/>
      <c r="I81" s="12"/>
      <c r="J81" s="12"/>
      <c r="K81" s="12"/>
      <c r="L81" s="46">
        <f>IF(OR($G$4="MEDIA",$G$4="BASICA - TERCER CICLO"),ROUND(((G81*$G$11)+(H81*$H$11)+(I81*$I$11)+(J81*$J$11)+(K81*$K$11)*100)/35%,2),ROUND((G81*$G$11)+(H81*$H$11)+(I81*$I$11)+(J81*$J$11)+(K81*$K$11),2))</f>
        <v>0</v>
      </c>
      <c r="M81" s="12"/>
      <c r="N81" s="12"/>
      <c r="O81" s="12"/>
      <c r="P81" s="12"/>
      <c r="Q81" s="12"/>
      <c r="R81" s="46">
        <f>IF(OR($G$4="MEDIA",$G$4="BASICA - TERCER CICLO"),ROUND(((M81*$M$11)+(N81*$N$11)+(O81*$O$11)+(P81*$P$11)+(Q81*$Q$11)*100)/35%,2),ROUND((M81*$M$11)+(N81*$N$11)+(O81*$O$11)+(P81*$P$11)+(Q81*$Q$11),2))</f>
        <v>0</v>
      </c>
      <c r="S81" s="12"/>
      <c r="T81" s="12"/>
      <c r="U81" s="12"/>
      <c r="V81" s="13">
        <f>IF(OR($G$4="MEDIA",$G$4="BASICA - TERCER CICLO"),ROUND(((S81*$S$11)+(T81*$T$11)+(U81*$U$11)*100)/30%,2),ROUND(((S81*$S$11)+(T81*$T$11)+(U81*$U$11)*100)/30%,2))</f>
        <v>0</v>
      </c>
      <c r="W81" s="12"/>
      <c r="X81" s="14">
        <f>IF(OR($G$4="MEDIA",$G$4="BASICA - TERCER CICLO"),ROUND((W81*$W$11),2),ROUND((W81*$W$11),0))</f>
        <v>0</v>
      </c>
      <c r="Y81" s="47">
        <f>ROUND((L81+R81+V81)/3,1)</f>
        <v>0</v>
      </c>
      <c r="Z81" s="12"/>
      <c r="AA81" s="12"/>
      <c r="AB81" s="12"/>
      <c r="AC81" s="12"/>
      <c r="AD81" s="12"/>
      <c r="AE81" s="46">
        <f>IF(OR($G$4="MEDIA",$G$4="BASICA - TERCER CICLO"),ROUND(((Z81*$Z$11)+(AA81*$AA$11)+(AB81*$AB$11)+(AC81*$AC$11)+(AD81*$AD$11)*100)/35%,2),ROUND((Z81*$Z$11)+(AA81*$AA$11)+(AB81*$AB$11)+(AC81*$AC$11)+(AD81*$AD$11),2))</f>
        <v>0</v>
      </c>
      <c r="AF81" s="12"/>
      <c r="AG81" s="12"/>
      <c r="AH81" s="12"/>
      <c r="AI81" s="12"/>
      <c r="AJ81" s="12"/>
      <c r="AK81" s="46">
        <f>IF(OR($G$4="MEDIA",$G$4="BASICA - TERCER CICLO"),ROUND(((AF81*$AF$11)+(AG81*$AG$11)+(AH81*$AH$11)+(AI81*$AI$11)+(AJ81*$AJ$11)*100)/35%,2),ROUND((AF81*$AF$11)+(AG81*$AG$11)+(AH81*$AH$11)+(AI81*$AI$11)+(AJ81*$AJ$11),2))</f>
        <v>0</v>
      </c>
      <c r="AL81" s="12"/>
      <c r="AM81" s="12"/>
      <c r="AN81" s="12"/>
      <c r="AO81" s="46">
        <f>IF(OR($G$4="MEDIA",$G$4="BASICA - TERCER CICLO"),ROUND(((AL81*$AL$11)+(AM81*$AM$11)+(AN81*$AN$11)*100)/30%,2),ROUND(((AL81*$AL$11)+(AM81*$AM$11)+(AN81*$AN$11)*100)/30%,2))</f>
        <v>0</v>
      </c>
      <c r="AP81" s="12"/>
      <c r="AQ81" s="14">
        <f>IF(OR($G$4="MEDIA",$G$4="BASICA - TERCER CICLO"),ROUND((AP81*$AP$11),2),ROUND((AP81*$AP$11),0))</f>
        <v>0</v>
      </c>
      <c r="AR81" s="47">
        <f>ROUND((AE81+AK81+AO81)/3,1)</f>
        <v>0</v>
      </c>
      <c r="AS81" s="12"/>
      <c r="AT81" s="12"/>
      <c r="AU81" s="12"/>
      <c r="AV81" s="12"/>
      <c r="AW81" s="12"/>
      <c r="AX81" s="46">
        <f>IF(OR($G$4="MEDIA",$G$4="BASICA - TERCER CICLO"),ROUND(((AS81*$AS$11)+(AT81*$AT$11)+(AU81*$AU$11)+(AV81*$AV$11)+(AW81*$AW$11)*100)/35%,2),ROUND((AS81*$AS$11)+(AT81*$AT$11)+(AU81*$AU$11)+(AV81*$AV$11)+(AW81*$AW$11),2))</f>
        <v>0</v>
      </c>
      <c r="AY81" s="12"/>
      <c r="AZ81" s="12"/>
      <c r="BA81" s="12"/>
      <c r="BB81" s="12"/>
      <c r="BC81" s="12"/>
      <c r="BD81" s="46">
        <f>IF(OR($G$4="MEDIA",$G$4="BASICA - TERCER CICLO"),ROUND(((AY81*$AY$11)+(AZ81*$AZ$11)+(BA81*$BA$11)+(BB81*$BB$11)+(BC81*$BC$11)*100)/35%,2),ROUND((AY81*$AY$11)+(AZ81*$AZ$11)+(BA81*$BA$11)+(BB81*$BB$11)+(BC81*$BC$11),2))</f>
        <v>0</v>
      </c>
      <c r="BE81" s="12"/>
      <c r="BF81" s="12"/>
      <c r="BG81" s="12"/>
      <c r="BH81" s="46">
        <f>IF(OR($G$4="MEDIA",$G$4="BASICA - TERCER CICLO"),ROUND(((BE81*$BE$11)+(BF81*$BF$11)+(BG81*$BG$11)*100)/30%,2),ROUND(((BE81*$BE$11)+(BF81*$BF$11)+(BG81*$BG$11)*100)/30%,2))</f>
        <v>0</v>
      </c>
      <c r="BI81" s="12"/>
      <c r="BJ81" s="14">
        <f>IF(OR($G$4="MEDIA",$G$4="BASICA - TERCER CICLO"),ROUND((BI81*$BI$11),2),ROUND((BI81*$BI$11),0))</f>
        <v>0</v>
      </c>
      <c r="BK81" s="47">
        <f>ROUND((AX81+BD81+BH81)/3,1)</f>
        <v>0</v>
      </c>
      <c r="BL81" s="12"/>
      <c r="BM81" s="12"/>
      <c r="BN81" s="12"/>
      <c r="BO81" s="12"/>
      <c r="BP81" s="12"/>
      <c r="BQ81" s="13">
        <f>IF(OR($G$4="MEDIA",$G$4="BASICA - TERCER CICLO"),ROUND(((BL81*$BL$11)+(BM81*$BM$11)+(BN81*$BN$11)+(BO81*$BO$11)+(BP81*$BP$11)*100)/35%,2),ROUND(((BL81*$BL$11)+(BM81*$BM$11)+(BN81*$BN$11)+(BO81*$BO$11)+(BP81*$BP$11)*100)/35%,2))</f>
        <v>0</v>
      </c>
      <c r="BR81" s="12"/>
      <c r="BS81" s="12"/>
      <c r="BT81" s="12"/>
      <c r="BU81" s="12"/>
      <c r="BV81" s="12"/>
      <c r="BW81" s="13">
        <f>IF(OR($G$4="MEDIA",$G$4="BASICA - TERCER CICLO"),ROUND(((BR81*$BR$11)+(BS81*$BS$11)+(BT81*$BT$11)+(BU81*$BU$11)+(BV81*$BV$11)*100)/35%,2),ROUND(((BR81*$BR$11)+(BS81*$BS$11)+(BT81*$BT$11)+(BU81*$BU$11)+(BV81*$BP$11)*100)/35%,2))</f>
        <v>0</v>
      </c>
      <c r="BX81" s="12"/>
      <c r="BY81" s="12"/>
      <c r="BZ81" s="12"/>
      <c r="CA81" s="13">
        <f>IF(OR($G$4="MEDIA",$G$4="BASICA - TERCER CICLO"),ROUND(((BX81*$BX$11)+(BY81*$BY$11)+(BZ81*$BZ$11)*100)/30%,2),ROUND(((BX81*$BX$11)+(BY81*$BY$11)+(BZ81*$BZ$11)*100)/30%,2))</f>
        <v>0</v>
      </c>
      <c r="CB81" s="12"/>
      <c r="CC81" s="14">
        <f>IF(OR($G$4="MEDIA",$G$4="BASICA - TERCER CICLO"),ROUND((CB81*$BI$11),2),ROUND((CB81*$BI$11),0))</f>
        <v>0</v>
      </c>
      <c r="CD81" s="28">
        <f>IF(OR($G$4="MEDIA",$G$4="BASICA - TERCER CICLO"),ROUND((BQ81+BW81+CA81+CC81),1),IF($G$4="BASICA",ROUND((BQ81+BW81+CA81+CC81),0),ROUND((BQ81+BW81+CA81+CC81),1)))</f>
        <v>0</v>
      </c>
      <c r="CE81" s="28">
        <f>IF($G$4 = "MEDIA",ROUND(((Y81+AR81+BK81+CD81)/4),0),ROUND(((Y81+AR81+BK81)/3),0))</f>
        <v>0</v>
      </c>
      <c r="CF81" s="21"/>
      <c r="CG81" s="28">
        <f>IF(AND(CE81&lt;5,$G$4="BASICA"),ROUND((CE81+CF81)/2,0),IF(AND(CE81&lt;6,$G$4="MEDIA"),ROUND((CE81+CF81)/2,0),CE81))</f>
        <v>0</v>
      </c>
      <c r="CH81" s="16" t="str">
        <f>IF($G$4="MEDIA",IF(CG81&gt;=6,"Aprobado","Reprobado"),IF(CG81&gt;=5,"Aprobado","Reprobado"))</f>
        <v>Reprobado</v>
      </c>
    </row>
    <row r="82" spans="1:86" customHeight="1" ht="20.25">
      <c r="A82" s="43">
        <v>70</v>
      </c>
      <c r="B82" s="44">
        <v>10540893</v>
      </c>
      <c r="C82" s="44">
        <v>5125</v>
      </c>
      <c r="D82" s="44">
        <v>27017</v>
      </c>
      <c r="E82" s="44" t="s">
        <v>107</v>
      </c>
      <c r="F82" s="45" t="s">
        <v>39</v>
      </c>
      <c r="G82" s="32"/>
      <c r="H82" s="12"/>
      <c r="I82" s="12"/>
      <c r="J82" s="12"/>
      <c r="K82" s="12"/>
      <c r="L82" s="46">
        <f>IF(OR($G$4="MEDIA",$G$4="BASICA - TERCER CICLO"),ROUND(((G82*$G$11)+(H82*$H$11)+(I82*$I$11)+(J82*$J$11)+(K82*$K$11)*100)/35%,2),ROUND((G82*$G$11)+(H82*$H$11)+(I82*$I$11)+(J82*$J$11)+(K82*$K$11),2))</f>
        <v>0</v>
      </c>
      <c r="M82" s="12"/>
      <c r="N82" s="12"/>
      <c r="O82" s="12"/>
      <c r="P82" s="12"/>
      <c r="Q82" s="12"/>
      <c r="R82" s="46">
        <f>IF(OR($G$4="MEDIA",$G$4="BASICA - TERCER CICLO"),ROUND(((M82*$M$11)+(N82*$N$11)+(O82*$O$11)+(P82*$P$11)+(Q82*$Q$11)*100)/35%,2),ROUND((M82*$M$11)+(N82*$N$11)+(O82*$O$11)+(P82*$P$11)+(Q82*$Q$11),2))</f>
        <v>0</v>
      </c>
      <c r="S82" s="12"/>
      <c r="T82" s="12"/>
      <c r="U82" s="12"/>
      <c r="V82" s="13">
        <f>IF(OR($G$4="MEDIA",$G$4="BASICA - TERCER CICLO"),ROUND(((S82*$S$11)+(T82*$T$11)+(U82*$U$11)*100)/30%,2),ROUND(((S82*$S$11)+(T82*$T$11)+(U82*$U$11)*100)/30%,2))</f>
        <v>0</v>
      </c>
      <c r="W82" s="12"/>
      <c r="X82" s="14">
        <f>IF(OR($G$4="MEDIA",$G$4="BASICA - TERCER CICLO"),ROUND((W82*$W$11),2),ROUND((W82*$W$11),0))</f>
        <v>0</v>
      </c>
      <c r="Y82" s="47">
        <f>ROUND((L82+R82+V82)/3,1)</f>
        <v>0</v>
      </c>
      <c r="Z82" s="12"/>
      <c r="AA82" s="12"/>
      <c r="AB82" s="12"/>
      <c r="AC82" s="12"/>
      <c r="AD82" s="12"/>
      <c r="AE82" s="46">
        <f>IF(OR($G$4="MEDIA",$G$4="BASICA - TERCER CICLO"),ROUND(((Z82*$Z$11)+(AA82*$AA$11)+(AB82*$AB$11)+(AC82*$AC$11)+(AD82*$AD$11)*100)/35%,2),ROUND((Z82*$Z$11)+(AA82*$AA$11)+(AB82*$AB$11)+(AC82*$AC$11)+(AD82*$AD$11),2))</f>
        <v>0</v>
      </c>
      <c r="AF82" s="12"/>
      <c r="AG82" s="12"/>
      <c r="AH82" s="12"/>
      <c r="AI82" s="12"/>
      <c r="AJ82" s="12"/>
      <c r="AK82" s="46">
        <f>IF(OR($G$4="MEDIA",$G$4="BASICA - TERCER CICLO"),ROUND(((AF82*$AF$11)+(AG82*$AG$11)+(AH82*$AH$11)+(AI82*$AI$11)+(AJ82*$AJ$11)*100)/35%,2),ROUND((AF82*$AF$11)+(AG82*$AG$11)+(AH82*$AH$11)+(AI82*$AI$11)+(AJ82*$AJ$11),2))</f>
        <v>0</v>
      </c>
      <c r="AL82" s="12"/>
      <c r="AM82" s="12"/>
      <c r="AN82" s="12"/>
      <c r="AO82" s="46">
        <f>IF(OR($G$4="MEDIA",$G$4="BASICA - TERCER CICLO"),ROUND(((AL82*$AL$11)+(AM82*$AM$11)+(AN82*$AN$11)*100)/30%,2),ROUND(((AL82*$AL$11)+(AM82*$AM$11)+(AN82*$AN$11)*100)/30%,2))</f>
        <v>0</v>
      </c>
      <c r="AP82" s="12"/>
      <c r="AQ82" s="14">
        <f>IF(OR($G$4="MEDIA",$G$4="BASICA - TERCER CICLO"),ROUND((AP82*$AP$11),2),ROUND((AP82*$AP$11),0))</f>
        <v>0</v>
      </c>
      <c r="AR82" s="47">
        <f>ROUND((AE82+AK82+AO82)/3,1)</f>
        <v>0</v>
      </c>
      <c r="AS82" s="12"/>
      <c r="AT82" s="12"/>
      <c r="AU82" s="12"/>
      <c r="AV82" s="12"/>
      <c r="AW82" s="12"/>
      <c r="AX82" s="46">
        <f>IF(OR($G$4="MEDIA",$G$4="BASICA - TERCER CICLO"),ROUND(((AS82*$AS$11)+(AT82*$AT$11)+(AU82*$AU$11)+(AV82*$AV$11)+(AW82*$AW$11)*100)/35%,2),ROUND((AS82*$AS$11)+(AT82*$AT$11)+(AU82*$AU$11)+(AV82*$AV$11)+(AW82*$AW$11),2))</f>
        <v>0</v>
      </c>
      <c r="AY82" s="12"/>
      <c r="AZ82" s="12"/>
      <c r="BA82" s="12"/>
      <c r="BB82" s="12"/>
      <c r="BC82" s="12"/>
      <c r="BD82" s="46">
        <f>IF(OR($G$4="MEDIA",$G$4="BASICA - TERCER CICLO"),ROUND(((AY82*$AY$11)+(AZ82*$AZ$11)+(BA82*$BA$11)+(BB82*$BB$11)+(BC82*$BC$11)*100)/35%,2),ROUND((AY82*$AY$11)+(AZ82*$AZ$11)+(BA82*$BA$11)+(BB82*$BB$11)+(BC82*$BC$11),2))</f>
        <v>0</v>
      </c>
      <c r="BE82" s="12"/>
      <c r="BF82" s="12"/>
      <c r="BG82" s="12"/>
      <c r="BH82" s="46">
        <f>IF(OR($G$4="MEDIA",$G$4="BASICA - TERCER CICLO"),ROUND(((BE82*$BE$11)+(BF82*$BF$11)+(BG82*$BG$11)*100)/30%,2),ROUND(((BE82*$BE$11)+(BF82*$BF$11)+(BG82*$BG$11)*100)/30%,2))</f>
        <v>0</v>
      </c>
      <c r="BI82" s="12"/>
      <c r="BJ82" s="14">
        <f>IF(OR($G$4="MEDIA",$G$4="BASICA - TERCER CICLO"),ROUND((BI82*$BI$11),2),ROUND((BI82*$BI$11),0))</f>
        <v>0</v>
      </c>
      <c r="BK82" s="47">
        <f>ROUND((AX82+BD82+BH82)/3,1)</f>
        <v>0</v>
      </c>
      <c r="BL82" s="12"/>
      <c r="BM82" s="12"/>
      <c r="BN82" s="12"/>
      <c r="BO82" s="12"/>
      <c r="BP82" s="12"/>
      <c r="BQ82" s="13">
        <f>IF(OR($G$4="MEDIA",$G$4="BASICA - TERCER CICLO"),ROUND(((BL82*$BL$11)+(BM82*$BM$11)+(BN82*$BN$11)+(BO82*$BO$11)+(BP82*$BP$11)*100)/35%,2),ROUND(((BL82*$BL$11)+(BM82*$BM$11)+(BN82*$BN$11)+(BO82*$BO$11)+(BP82*$BP$11)*100)/35%,2))</f>
        <v>0</v>
      </c>
      <c r="BR82" s="12"/>
      <c r="BS82" s="12"/>
      <c r="BT82" s="12"/>
      <c r="BU82" s="12"/>
      <c r="BV82" s="12"/>
      <c r="BW82" s="13">
        <f>IF(OR($G$4="MEDIA",$G$4="BASICA - TERCER CICLO"),ROUND(((BR82*$BR$11)+(BS82*$BS$11)+(BT82*$BT$11)+(BU82*$BU$11)+(BV82*$BV$11)*100)/35%,2),ROUND(((BR82*$BR$11)+(BS82*$BS$11)+(BT82*$BT$11)+(BU82*$BU$11)+(BV82*$BP$11)*100)/35%,2))</f>
        <v>0</v>
      </c>
      <c r="BX82" s="12"/>
      <c r="BY82" s="12"/>
      <c r="BZ82" s="12"/>
      <c r="CA82" s="13">
        <f>IF(OR($G$4="MEDIA",$G$4="BASICA - TERCER CICLO"),ROUND(((BX82*$BX$11)+(BY82*$BY$11)+(BZ82*$BZ$11)*100)/30%,2),ROUND(((BX82*$BX$11)+(BY82*$BY$11)+(BZ82*$BZ$11)*100)/30%,2))</f>
        <v>0</v>
      </c>
      <c r="CB82" s="12"/>
      <c r="CC82" s="14">
        <f>IF(OR($G$4="MEDIA",$G$4="BASICA - TERCER CICLO"),ROUND((CB82*$BI$11),2),ROUND((CB82*$BI$11),0))</f>
        <v>0</v>
      </c>
      <c r="CD82" s="28">
        <f>IF(OR($G$4="MEDIA",$G$4="BASICA - TERCER CICLO"),ROUND((BQ82+BW82+CA82+CC82),1),IF($G$4="BASICA",ROUND((BQ82+BW82+CA82+CC82),0),ROUND((BQ82+BW82+CA82+CC82),1)))</f>
        <v>0</v>
      </c>
      <c r="CE82" s="28">
        <f>IF($G$4 = "MEDIA",ROUND(((Y82+AR82+BK82+CD82)/4),0),ROUND(((Y82+AR82+BK82)/3),0))</f>
        <v>0</v>
      </c>
      <c r="CF82" s="21"/>
      <c r="CG82" s="28">
        <f>IF(AND(CE82&lt;5,$G$4="BASICA"),ROUND((CE82+CF82)/2,0),IF(AND(CE82&lt;6,$G$4="MEDIA"),ROUND((CE82+CF82)/2,0),CE82))</f>
        <v>0</v>
      </c>
      <c r="CH82" s="16" t="str">
        <f>IF($G$4="MEDIA",IF(CG82&gt;=6,"Aprobado","Reprobado"),IF(CG82&gt;=5,"Aprobado","Reprobado"))</f>
        <v>Reprobado</v>
      </c>
    </row>
    <row r="83" spans="1:86" customHeight="1" ht="13.5">
      <c r="A83">
        <v>71</v>
      </c>
      <c r="B83">
        <v>10483548</v>
      </c>
      <c r="C83">
        <v>4879</v>
      </c>
      <c r="D83">
        <v>27018</v>
      </c>
      <c r="E83" t="s">
        <v>114</v>
      </c>
      <c r="F83" t="s">
        <v>37</v>
      </c>
    </row>
    <row r="84" spans="1:86">
      <c r="A84">
        <v>72</v>
      </c>
      <c r="B84">
        <v>10125847</v>
      </c>
      <c r="C84">
        <v>5780</v>
      </c>
      <c r="D84">
        <v>26993</v>
      </c>
      <c r="E84" t="s">
        <v>115</v>
      </c>
      <c r="F84" t="s">
        <v>39</v>
      </c>
    </row>
    <row r="85" spans="1:86">
      <c r="A85">
        <v>73</v>
      </c>
      <c r="B85">
        <v>10132733</v>
      </c>
      <c r="C85">
        <v>4934</v>
      </c>
      <c r="D85">
        <v>27019</v>
      </c>
      <c r="E85" t="s">
        <v>116</v>
      </c>
      <c r="F85" t="s">
        <v>37</v>
      </c>
    </row>
  </sheetData>
  <sheetProtection password="CE28" sheet="tru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AS6:AX6"/>
    <mergeCell ref="AY10:BD10"/>
    <mergeCell ref="Z6:AE6"/>
    <mergeCell ref="A1:E1"/>
    <mergeCell ref="CE7:CH11"/>
    <mergeCell ref="BL7:CD7"/>
    <mergeCell ref="BL8:CD8"/>
    <mergeCell ref="BL9:CD9"/>
    <mergeCell ref="BL10:BQ10"/>
    <mergeCell ref="BR10:BW10"/>
    <mergeCell ref="BX10:CA10"/>
    <mergeCell ref="CB10:CC10"/>
    <mergeCell ref="AS7:BK7"/>
    <mergeCell ref="AS8:BK8"/>
    <mergeCell ref="AS9:BK9"/>
    <mergeCell ref="AS10:AX10"/>
    <mergeCell ref="BI10:BJ10"/>
    <mergeCell ref="AP10:AQ10"/>
    <mergeCell ref="AF10:AK10"/>
    <mergeCell ref="BL6:BQ6"/>
    <mergeCell ref="G4:M4"/>
    <mergeCell ref="G10:L10"/>
    <mergeCell ref="M10:R10"/>
    <mergeCell ref="S10:V10"/>
    <mergeCell ref="W10:X10"/>
    <mergeCell ref="Z10:AE10"/>
    <mergeCell ref="G7:Y7"/>
    <mergeCell ref="G9:Y9"/>
    <mergeCell ref="G8:Y8"/>
    <mergeCell ref="Z7:AR7"/>
    <mergeCell ref="Z8:AR8"/>
    <mergeCell ref="Z9:AR9"/>
    <mergeCell ref="BE10:BH10"/>
    <mergeCell ref="AL10:AO10"/>
    <mergeCell ref="G6:L6"/>
  </mergeCells>
  <conditionalFormatting sqref="Y11">
    <cfRule type="cellIs" dxfId="0" priority="1" operator="greaterThan">
      <formula>1.1</formula>
    </cfRule>
  </conditionalFormatting>
  <conditionalFormatting sqref="Y13:Y82">
    <cfRule type="cellIs" dxfId="1" priority="2" operator="between">
      <formula>7</formula>
      <formula>10</formula>
    </cfRule>
    <cfRule type="cellIs" dxfId="2" priority="3" operator="between">
      <formula>5</formula>
      <formula>6.99</formula>
    </cfRule>
    <cfRule type="cellIs" dxfId="3" priority="4" operator="between">
      <formula>0</formula>
      <formula>4.99</formula>
    </cfRule>
  </conditionalFormatting>
  <conditionalFormatting sqref="AR11">
    <cfRule type="cellIs" dxfId="0" priority="5" operator="greaterThan">
      <formula>1.1</formula>
    </cfRule>
  </conditionalFormatting>
  <conditionalFormatting sqref="AR13:AR82">
    <cfRule type="cellIs" dxfId="1" priority="6" operator="between">
      <formula>7</formula>
      <formula>10</formula>
    </cfRule>
    <cfRule type="cellIs" dxfId="2" priority="7" operator="between">
      <formula>5</formula>
      <formula>6.99</formula>
    </cfRule>
    <cfRule type="cellIs" dxfId="3" priority="8" operator="between">
      <formula>0</formula>
      <formula>4.99</formula>
    </cfRule>
  </conditionalFormatting>
  <conditionalFormatting sqref="BK11">
    <cfRule type="cellIs" dxfId="0" priority="9" operator="greaterThan">
      <formula>1.1</formula>
    </cfRule>
  </conditionalFormatting>
  <conditionalFormatting sqref="BK13:BK82">
    <cfRule type="cellIs" dxfId="1" priority="10" operator="between">
      <formula>7</formula>
      <formula>10</formula>
    </cfRule>
    <cfRule type="cellIs" dxfId="2" priority="11" operator="between">
      <formula>5</formula>
      <formula>6.99</formula>
    </cfRule>
    <cfRule type="cellIs" dxfId="3" priority="12" operator="between">
      <formula>0</formula>
      <formula>4.99</formula>
    </cfRule>
  </conditionalFormatting>
  <conditionalFormatting sqref="CD11">
    <cfRule type="cellIs" dxfId="0" priority="13" operator="greaterThan">
      <formula>1.1</formula>
    </cfRule>
  </conditionalFormatting>
  <conditionalFormatting sqref="CD13:CE82">
    <cfRule type="cellIs" dxfId="1" priority="14" operator="between">
      <formula>7</formula>
      <formula>10</formula>
    </cfRule>
    <cfRule type="cellIs" dxfId="2" priority="15" operator="between">
      <formula>5</formula>
      <formula>6.99</formula>
    </cfRule>
    <cfRule type="cellIs" dxfId="3" priority="16" operator="between">
      <formula>0</formula>
      <formula>4.99</formula>
    </cfRule>
  </conditionalFormatting>
  <conditionalFormatting sqref="CF13:CF82">
    <cfRule type="cellIs" dxfId="4" priority="17" operator="between" stopIfTrue="1">
      <formula>0</formula>
      <formula>10</formula>
    </cfRule>
  </conditionalFormatting>
  <conditionalFormatting sqref="CG13:CG82">
    <cfRule type="cellIs" dxfId="1" priority="18" operator="between">
      <formula>7</formula>
      <formula>10</formula>
    </cfRule>
    <cfRule type="cellIs" dxfId="2" priority="19" operator="between">
      <formula>5</formula>
      <formula>6.99</formula>
    </cfRule>
    <cfRule type="cellIs" dxfId="3" priority="20" operator="between">
      <formula>0</formula>
      <formula>4.99</formula>
    </cfRule>
  </conditionalFormatting>
  <conditionalFormatting sqref="CH13:CH82">
    <cfRule type="cellIs" dxfId="5" priority="21" operator="equal" stopIfTrue="1">
      <formula>"Reprobado"</formula>
    </cfRule>
  </conditionalFormatting>
  <dataValidations count="61">
    <dataValidation type="decimal" allowBlank="1" showDropDown="0" showInputMessage="1" showErrorMessage="1" errorTitle="Valor" error="Solo numeros entre 0.01 a 10." sqref="Z13:AD82">
      <formula1>0</formula1>
      <formula2>10</formula2>
    </dataValidation>
    <dataValidation type="decimal" allowBlank="1" showDropDown="0" showInputMessage="1" showErrorMessage="1" errorTitle="Valor" error="Solo numeros entre 0.01 a 10." sqref="Z13:AD82">
      <formula1>0</formula1>
      <formula2>10</formula2>
    </dataValidation>
    <dataValidation type="decimal" allowBlank="1" showDropDown="0" showInputMessage="1" showErrorMessage="1" errorTitle="Valor" error="Solo numeros entre 0.01 a 10." sqref="Z13:AD82">
      <formula1>0</formula1>
      <formula2>10</formula2>
    </dataValidation>
    <dataValidation type="decimal" allowBlank="1" showDropDown="0" showInputMessage="1" showErrorMessage="1" errorTitle="Valor" error="Solo numeros entre 0.01 a 10." sqref="Z13:AD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F13:AJ82">
      <formula1>0</formula1>
      <formula2>10</formula2>
    </dataValidation>
    <dataValidation type="decimal" allowBlank="1" showDropDown="0" showInputMessage="1" showErrorMessage="1" errorTitle="Valor" error="Solo numeros entre 0.01 a 10." sqref="AL13:AN82">
      <formula1>0</formula1>
      <formula2>10</formula2>
    </dataValidation>
    <dataValidation type="decimal" allowBlank="1" showDropDown="0" showInputMessage="1" showErrorMessage="1" errorTitle="Valor" error="Solo numeros entre 0.01 a 10." sqref="AL13:AN82">
      <formula1>0</formula1>
      <formula2>10</formula2>
    </dataValidation>
    <dataValidation type="decimal" allowBlank="1" showDropDown="0" showInputMessage="1" showErrorMessage="1" errorTitle="Valor" error="Solo numeros entre 0.01 a 10." sqref="AL13:AN82">
      <formula1>0</formula1>
      <formula2>10</formula2>
    </dataValidation>
    <dataValidation type="decimal" allowBlank="1" showDropDown="0" showInputMessage="1" showErrorMessage="1" errorTitle="Valor" error="Solo numeros entre 0.01 a 10." sqref="AP13:AP82">
      <formula1>0</formula1>
      <formula2>10</formula2>
    </dataValidation>
    <dataValidation operator="equal" allowBlank="1" showDropDown="0" showInputMessage="0" showErrorMessage="1" errorTitle="Error" error="El Promedio no tiene que ser MAYOR A 110%" sqref="AR11"/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S13:AW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AY13:BC82">
      <formula1>0</formula1>
      <formula2>10</formula2>
    </dataValidation>
    <dataValidation type="decimal" allowBlank="1" showDropDown="0" showInputMessage="1" showErrorMessage="1" errorTitle="Valor" error="Solo numeros entre 0.01 a 10." sqref="BE13:BG82">
      <formula1>0</formula1>
      <formula2>10</formula2>
    </dataValidation>
    <dataValidation type="decimal" allowBlank="1" showDropDown="0" showInputMessage="1" showErrorMessage="1" errorTitle="Valor" error="Solo numeros entre 0.01 a 10." sqref="BE13:BG82">
      <formula1>0</formula1>
      <formula2>10</formula2>
    </dataValidation>
    <dataValidation type="decimal" allowBlank="1" showDropDown="0" showInputMessage="1" showErrorMessage="1" errorTitle="Valor" error="Solo numeros entre 0.01 a 10." sqref="BE13:BG82">
      <formula1>0</formula1>
      <formula2>10</formula2>
    </dataValidation>
    <dataValidation type="decimal" allowBlank="1" showDropDown="0" showInputMessage="1" showErrorMessage="1" errorTitle="Valor" error="Solo numeros entre 0.01 a 10." sqref="BI13:BI82">
      <formula1>0</formula1>
      <formula2>10</formula2>
    </dataValidation>
    <dataValidation operator="equal" allowBlank="1" showDropDown="0" showInputMessage="0" showErrorMessage="1" errorTitle="Error" error="El Promedio no tiene que ser MAYOR A 110%" sqref="BK11"/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" error="Solo numeros entre 0.01 a 10." sqref="BL13:BP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." error="Solo numeros entre 0.01 a 10." sqref="BR13:BV82">
      <formula1>0</formula1>
      <formula2>10</formula2>
    </dataValidation>
    <dataValidation type="decimal" allowBlank="1" showDropDown="0" showInputMessage="1" showErrorMessage="1" errorTitle="Valor" error="Solo numeros entre 0.01 a 10." sqref="BX13:BZ82">
      <formula1>0</formula1>
      <formula2>10</formula2>
    </dataValidation>
    <dataValidation type="decimal" allowBlank="1" showDropDown="0" showInputMessage="1" showErrorMessage="1" errorTitle="Valor" error="Solo numeros entre 0.01 a 10." sqref="BX13:BZ82">
      <formula1>0</formula1>
      <formula2>10</formula2>
    </dataValidation>
    <dataValidation type="decimal" allowBlank="1" showDropDown="0" showInputMessage="1" showErrorMessage="1" errorTitle="Valor" error="Solo numeros entre 0.01 a 10." sqref="BX13:BZ82">
      <formula1>0</formula1>
      <formula2>10</formula2>
    </dataValidation>
    <dataValidation type="decimal" allowBlank="1" showDropDown="0" showInputMessage="1" showErrorMessage="1" errorTitle="Valor" error="Solo numeros entre 0.01 a 10." sqref="CB13:CB82">
      <formula1>0</formula1>
      <formula2>10</formula2>
    </dataValidation>
    <dataValidation operator="equal" allowBlank="1" showDropDown="0" showInputMessage="0" showErrorMessage="1" errorTitle="Error" error="El Promedio no tiene que ser MAYOR A 110%" sqref="CD11"/>
    <dataValidation type="decimal" allowBlank="1" showDropDown="0" showInputMessage="1" showErrorMessage="1" errorTitle="Valores" error="Solo numeros. entre 0.01 a 10." sqref="CF13:CF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G13:K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M13:Q82">
      <formula1>0</formula1>
      <formula2>10</formula2>
    </dataValidation>
    <dataValidation type="decimal" allowBlank="1" showDropDown="0" showInputMessage="1" showErrorMessage="1" errorTitle="Valor" error="Solo numeros entre 0.01 a 10." sqref="S13:U82">
      <formula1>0</formula1>
      <formula2>10</formula2>
    </dataValidation>
    <dataValidation type="decimal" allowBlank="1" showDropDown="0" showInputMessage="1" showErrorMessage="1" errorTitle="Valor" error="Solo numeros entre 0.01 a 10." sqref="S13:U82">
      <formula1>0</formula1>
      <formula2>10</formula2>
    </dataValidation>
    <dataValidation type="decimal" allowBlank="1" showDropDown="0" showInputMessage="1" showErrorMessage="1" errorTitle="Valor" error="Solo numeros entre 0.01 a 10." sqref="S13:U82">
      <formula1>0</formula1>
      <formula2>10</formula2>
    </dataValidation>
    <dataValidation type="decimal" allowBlank="1" showDropDown="0" showInputMessage="1" showErrorMessage="1" errorTitle="Valor" error="Solo numeros entre 0.01 a 10." sqref="W13:W82">
      <formula1>0</formula1>
      <formula2>10</formula2>
    </dataValidation>
    <dataValidation operator="equal" allowBlank="1" showDropDown="0" showInputMessage="0" showErrorMessage="1" errorTitle="Error" error="El Promedio no tiene que ser MAYOR A 110%" sqref="Y11"/>
    <dataValidation type="decimal" allowBlank="1" showDropDown="0" showInputMessage="1" showErrorMessage="1" errorTitle="Valor" error="Solo numeros entre 0.01 a 10." sqref="Z13:AD82">
      <formula1>0</formula1>
      <formula2>10</formula2>
    </dataValidation>
  </dataValidations>
  <printOptions gridLines="false" gridLinesSet="true"/>
  <pageMargins left="0.75" right="0.75" top="1" bottom="1" header="0" footer="0"/>
  <pageSetup paperSize="1" orientation="portrait" scale="100" fitToHeight="1" fitToWidth="1" pageOrder="downThenOver" r:id="rId1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4.º-A Aritmetica</vt:lpstr>
      <vt:lpstr>4.º-A Comunicaci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carlos_wilfredo_cerna@hotmail.com</dc:creator>
  <cp:lastModifiedBy>Carlos Wilfredo Cerna Orellana</cp:lastModifiedBy>
  <dcterms:created xsi:type="dcterms:W3CDTF">2016-08-20T00:50:46+00:00</dcterms:created>
  <dcterms:modified xsi:type="dcterms:W3CDTF">2025-04-24T00:59:39+00:00</dcterms:modified>
  <dc:title/>
  <dc:description/>
  <dc:subject/>
  <cp:keywords/>
  <cp:category/>
</cp:coreProperties>
</file>